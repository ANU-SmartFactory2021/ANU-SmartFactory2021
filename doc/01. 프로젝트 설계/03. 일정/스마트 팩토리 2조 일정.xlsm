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harts/chart1.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af2455916749499e" Type="http://schemas.microsoft.com/office/2006/relationships/ui/extensibility" Target="customUI/customUI.xml"/><Relationship Id="rId2" Type="http://schemas.microsoft.com/office/2006/relationships/ui/userCustomization" Target="NUL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4326" codeName="{4D1C537B-E38A-612A-F078-A93A15B4B7F4}"/>
  <workbookPr codeName="ThisWorkbook"/>
  <mc:AlternateContent xmlns:mc="http://schemas.openxmlformats.org/markup-compatibility/2006">
    <mc:Choice Requires="x15">
      <x15ac:absPath xmlns:x15ac="http://schemas.microsoft.com/office/spreadsheetml/2010/11/ac" url="D:\1.ReturnTrue\1. Git\ANU-SmartFactory2021\doc\01. 프로젝트 설계\03. 일정\"/>
    </mc:Choice>
  </mc:AlternateContent>
  <xr:revisionPtr revIDLastSave="0" documentId="13_ncr:1_{121DFD5A-58B0-4F7D-AEB6-A22AFE30F629}" xr6:coauthVersionLast="47" xr6:coauthVersionMax="47" xr10:uidLastSave="{00000000-0000-0000-0000-000000000000}"/>
  <bookViews>
    <workbookView xWindow="-120" yWindow="-120" windowWidth="29040" windowHeight="15720" tabRatio="535" firstSheet="3" activeTab="3" xr2:uid="{00000000-000D-0000-FFFF-FFFF00000000}"/>
  </bookViews>
  <sheets>
    <sheet name="Settings" sheetId="6" state="veryHidden" r:id="rId1"/>
    <sheet name="TranslatedLanguages" sheetId="7" state="hidden" r:id="rId2"/>
    <sheet name="Workload" sheetId="8" state="veryHidden" r:id="rId3"/>
    <sheet name="Schedule" sheetId="2" r:id="rId4"/>
    <sheet name="Progress" sheetId="3" r:id="rId5"/>
    <sheet name="AnalysisReport" sheetId="4" r:id="rId6"/>
    <sheet name="Calendar" sheetId="5" r:id="rId7"/>
  </sheets>
  <functionGroups builtInGroupCount="19"/>
  <externalReferences>
    <externalReference r:id="rId8"/>
  </externalReferences>
  <definedNames>
    <definedName name="_xlnm._FilterDatabase" localSheetId="3" hidden="1">Schedule!$M$3:$AB$41</definedName>
    <definedName name="ACTUAL_RATE" localSheetId="2">[1]Progress!$B$21</definedName>
    <definedName name="ACTUAL_RATE">Progress!$B$21</definedName>
    <definedName name="ACTUAL_WORKLOAD">Progress!$B$12</definedName>
    <definedName name="ACTUAL_WORKLOAD2">Progress!$B$15</definedName>
    <definedName name="English_Name">TranslatedLanguages!$D$1</definedName>
    <definedName name="LOCAL_DATE_SEPARATOR" hidden="1">INDEX(GET.WORKSPACE(37),17)</definedName>
    <definedName name="LOCAL_DAY_FORMAT" hidden="1">INDEX(GET.WORKSPACE(37),21)</definedName>
    <definedName name="LOCAL_HOUR_FORMAT" hidden="1">INDEX(GET.WORKSPACE(37),22)</definedName>
    <definedName name="LOCAL_MINUTE_FORMAT" hidden="1">INDEX(GET.WORKSPACE(37),23)</definedName>
    <definedName name="LOCAL_MONTH_FORMAT" hidden="1">INDEX(GET.WORKSPACE(37),20)</definedName>
    <definedName name="LOCAL_MYSQL_DATE_FORMAT" localSheetId="2"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SECOND_FORMAT" hidden="1">INDEX(GET.WORKSPACE(37),24)</definedName>
    <definedName name="LOCAL_TIME_SEPARATOR" hidden="1">INDEX(GET.WORKSPACE(37),18)</definedName>
    <definedName name="LOCAL_YEAR_FORMAT" hidden="1">INDEX(GET.WORKSPACE(37),19)</definedName>
    <definedName name="PLANNED_RATE" localSheetId="2">[1]Progress!$B$18</definedName>
    <definedName name="PLANNED_RATE">Progress!$B$18</definedName>
    <definedName name="PLANNED_WORKLOAD">Progress!$B$9</definedName>
    <definedName name="RATE_GAP">Progress!$B$24</definedName>
    <definedName name="RNG_ACTUAL_END_DATE_COL_NAME">Schedule!$U$3</definedName>
    <definedName name="RNG_ACTUAL_RATE_COL_NAME">Schedule!$AB$3</definedName>
    <definedName name="RNG_ACTUAL_START_DATE_COL_NAME">Schedule!$T$3</definedName>
    <definedName name="RNG_ACTUAL_TOTAL_DURATION_COL_NAME">Schedule!$W$3</definedName>
    <definedName name="RNG_ACTUAL_TOTAL_WORKLOAD_COL_NAME">Schedule!$V$3</definedName>
    <definedName name="RNG_CALENDAR_COL_NAME">Schedule!$O$3</definedName>
    <definedName name="RNG_DELIVERABLES_COL_NAME">Schedule!$Z$3</definedName>
    <definedName name="RNG_END_DATE_COL_NAME">Schedule!$N$3</definedName>
    <definedName name="RNG_ETC_COL_NAME">Schedule!$L$3</definedName>
    <definedName name="RNG_GANTT_AREA_FIRST_COL_NAME">Schedule!$AC$4</definedName>
    <definedName name="RNG_PLAN_DURATION_COL_NAME">Schedule!$S$3</definedName>
    <definedName name="RNG_PLAN_RATE_COL_NAME">Schedule!$AA$3</definedName>
    <definedName name="RNG_PLAN_WORKLOAD_COL_NAME">Schedule!$Q$3</definedName>
    <definedName name="RNG_RESOURCE_COL_NAME">Schedule!$Y$3</definedName>
    <definedName name="RNG_RESOURCE_WEIGHT_COL_NAME">Schedule!$X$3</definedName>
    <definedName name="RNG_START_DATE_COL_NAME">Schedule!$M$3</definedName>
    <definedName name="RNG_TASK_FIRST_COL_NAME">Schedule!$E$3</definedName>
    <definedName name="RNG_TOTAL_DURATION_COL_NAME">Schedule!$R$3</definedName>
    <definedName name="RNG_TOTAL_WORKLOAD_COL_NAME">Schedule!$P$3</definedName>
    <definedName name="RNG_WBS_AREA_LAST_COL_NAME" localSheetId="2">[1]Schedule!#REF!</definedName>
    <definedName name="RNG_WBS_AREA_LAST_COL_NAME">Schedule!$AB$3</definedName>
    <definedName name="RNG_WBS_COL_NAME">Schedule!$D$3</definedName>
    <definedName name="RNG_WBS_LEVEL_COL_NAME">Schedule!$C$3</definedName>
    <definedName name="STD_CAL" localSheetId="2">[1]Calendar!$B$5:$B$304</definedName>
    <definedName name="STD_CAL">Calendar!$B$5:$B$304</definedName>
    <definedName name="TOTAL_WORKLOAD">Progress!$B$6</definedName>
    <definedName name="UD_CAL1">Calendar!$E$5:$E$304</definedName>
    <definedName name="UD_CAL2">Calendar!$H$5:$H$304</definedName>
    <definedName name="Z_02FBC6E6_CD2B_48E2_BC55_64C05A10B473_.wvu.FilterData" localSheetId="3" hidden="1">Schedule!$E$4:$T$4</definedName>
    <definedName name="Z_0A64F8D9_59E4_4471_A54B_AB6085820F8B_.wvu.FilterData" localSheetId="3" hidden="1">Schedule!$E$4:$T$4</definedName>
    <definedName name="Z_0A64F8D9_59E4_4471_A54B_AB6085820F8B_.wvu.PrintArea" localSheetId="3" hidden="1">Schedule!$E$4:$AB$4</definedName>
    <definedName name="Z_0B810681_CC81_4141_9F16_24B3FD4F0FB8_.wvu.FilterData" localSheetId="3" hidden="1">Schedule!$E$4:$T$4</definedName>
    <definedName name="Z_0B810681_CC81_4141_9F16_24B3FD4F0FB8_.wvu.PrintArea" localSheetId="3" hidden="1">Schedule!$E$4:$AB$4</definedName>
    <definedName name="Z_45F170B6_3544_43F8_BFC7_D657B723AABC_.wvu.FilterData" localSheetId="3" hidden="1">Schedule!$E$4:$T$4</definedName>
    <definedName name="Z_45F170B6_3544_43F8_BFC7_D657B723AABC_.wvu.PrintArea" localSheetId="3" hidden="1">Schedule!$E$4:$AB$4</definedName>
    <definedName name="Z_6C04A49A_6140_42F5_B660_358F3428D555_.wvu.FilterData" localSheetId="3" hidden="1">Schedule!$E$4:$T$4</definedName>
    <definedName name="Z_6C04A49A_6140_42F5_B660_358F3428D555_.wvu.PrintArea" localSheetId="3" hidden="1">Schedule!$E$4:$AB$4</definedName>
    <definedName name="Z_717B341C_ADF7_4494_8FE3_F9159C14788B_.wvu.FilterData" localSheetId="3" hidden="1">Schedule!$E$4:$T$4</definedName>
    <definedName name="Z_96DEAA77_2828_4E97_975A_CF93EF5D9712_.wvu.FilterData" localSheetId="3" hidden="1">Schedule!$E$4:$T$4</definedName>
    <definedName name="Z_AF9F6769_16BA_4444_B539_537212F9672A_.wvu.FilterData" localSheetId="3" hidden="1">Schedule!$E$4:$T$4</definedName>
    <definedName name="Z_AF9F6769_16BA_4444_B539_537212F9672A_.wvu.PrintArea" localSheetId="3" hidden="1">Schedule!$E$4:$AB$4</definedName>
    <definedName name="Z_B0AA3114_3257_4D99_8E15_F0A183B56293_.wvu.FilterData" localSheetId="3" hidden="1">Schedule!$E$4:$T$4</definedName>
    <definedName name="Z_B4798534_C27D_422C_BD87_0A71D9C8BAA9_.wvu.FilterData" localSheetId="3" hidden="1">Schedule!$E$4:$T$4</definedName>
    <definedName name="Z_C7B87852_3417_4B82_AD8F_04929FC46960_.wvu.FilterData" localSheetId="3" hidden="1">Schedule!$E$4:$T$4</definedName>
    <definedName name="Z_CD147E05_78AB_4F1A_996E_7FAB0BB4629B_.wvu.FilterData" localSheetId="3" hidden="1">Schedule!$E$4:$T$4</definedName>
    <definedName name="Z_F8F33EAC_6737_4237_A48D_05833D89E8C9_.wvu.FilterData" localSheetId="3" hidden="1">Schedule!$E$4:$T$4</definedName>
    <definedName name="Z_F8F33EAC_6737_4237_A48D_05833D89E8C9_.wvu.PrintArea" localSheetId="3" hidden="1">Schedule!$E$4:$AB$4</definedName>
    <definedName name="Z_FA644498_2FA7_4E23_AA15_463455A1D2EE_.wvu.FilterData" localSheetId="3" hidden="1">Schedule!$E$4:$T$4</definedName>
  </definedNames>
  <calcPr calcId="191029" calcMode="manual"/>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M5" i="2" l="1"/>
  <c r="AR5" i="2"/>
  <c r="AE6" i="2"/>
  <c r="AD7" i="2"/>
  <c r="AE8" i="2"/>
  <c r="AE9" i="2"/>
  <c r="AD10" i="2"/>
  <c r="AO11" i="2"/>
  <c r="AN12" i="2"/>
  <c r="AP13" i="2"/>
  <c r="AQ14" i="2"/>
  <c r="AQ15" i="2"/>
  <c r="AO16" i="2"/>
  <c r="AE17" i="2"/>
  <c r="AE18" i="2"/>
  <c r="AG19" i="2"/>
  <c r="AG20" i="2"/>
  <c r="AG21" i="2"/>
  <c r="AG22" i="2"/>
  <c r="AF23" i="2"/>
  <c r="AG24" i="2"/>
  <c r="AN25" i="2"/>
  <c r="AN26" i="2"/>
  <c r="AN27" i="2"/>
  <c r="AO28" i="2"/>
  <c r="AM29" i="2"/>
  <c r="AL30" i="2"/>
  <c r="AO31" i="2"/>
  <c r="AN32" i="2"/>
  <c r="AO33" i="2"/>
  <c r="AO34" i="2"/>
  <c r="AO35" i="2"/>
  <c r="AO36" i="2"/>
  <c r="AO37" i="2"/>
  <c r="AM38" i="2"/>
  <c r="AM39" i="2"/>
  <c r="AQ39" i="2"/>
  <c r="AM40" i="2"/>
  <c r="AN41" i="2"/>
  <c r="AQ41" i="2"/>
  <c r="D29" i="4" l="1"/>
  <c r="E7" i="4"/>
  <c r="F7" i="4" s="1"/>
  <c r="H121" i="8"/>
  <c r="E8" i="4" l="1"/>
  <c r="F8" i="4" s="1"/>
  <c r="E9" i="4"/>
  <c r="C5" i="5"/>
  <c r="C6" i="5"/>
  <c r="C7" i="5"/>
  <c r="C8" i="5"/>
  <c r="C9" i="5"/>
  <c r="C10" i="5"/>
  <c r="C11" i="5"/>
  <c r="C12" i="5"/>
  <c r="C13" i="5"/>
  <c r="C14" i="5"/>
  <c r="C15" i="5"/>
  <c r="C16" i="5"/>
  <c r="C17" i="5"/>
  <c r="C18" i="5"/>
  <c r="C19" i="5"/>
  <c r="C20" i="5"/>
  <c r="C21" i="5"/>
  <c r="C22" i="5"/>
  <c r="C23" i="5"/>
  <c r="C24" i="5"/>
  <c r="C25" i="5"/>
  <c r="C26" i="5"/>
  <c r="C27" i="5"/>
  <c r="C28" i="5"/>
  <c r="C29" i="5"/>
  <c r="C30" i="5"/>
  <c r="C31" i="5"/>
  <c r="C32" i="5"/>
  <c r="C33" i="5"/>
  <c r="C34" i="5"/>
  <c r="C35" i="5"/>
  <c r="C36" i="5"/>
  <c r="C37" i="5"/>
  <c r="C38" i="5"/>
  <c r="C39" i="5"/>
  <c r="C40" i="5"/>
  <c r="C41" i="5"/>
  <c r="C42" i="5"/>
  <c r="C43" i="5"/>
  <c r="C44" i="5"/>
  <c r="C45" i="5"/>
  <c r="C46" i="5"/>
  <c r="C47" i="5"/>
  <c r="C48" i="5"/>
  <c r="C49" i="5"/>
  <c r="C50" i="5"/>
  <c r="C51" i="5"/>
  <c r="C52" i="5"/>
  <c r="C53" i="5"/>
  <c r="C54" i="5"/>
  <c r="C55" i="5"/>
  <c r="C56" i="5"/>
  <c r="C57" i="5"/>
  <c r="C58" i="5"/>
  <c r="C59" i="5"/>
  <c r="C60" i="5"/>
  <c r="C61" i="5"/>
  <c r="C62" i="5"/>
  <c r="C63" i="5"/>
  <c r="C64" i="5"/>
  <c r="C65" i="5"/>
  <c r="C66" i="5"/>
  <c r="C67" i="5"/>
  <c r="C68" i="5"/>
  <c r="C69" i="5"/>
  <c r="C70" i="5"/>
  <c r="C71" i="5"/>
  <c r="C72" i="5"/>
  <c r="C73" i="5"/>
  <c r="C74" i="5"/>
  <c r="C75" i="5"/>
  <c r="C76" i="5"/>
  <c r="C77" i="5"/>
  <c r="C78" i="5"/>
  <c r="C79" i="5"/>
  <c r="C80" i="5"/>
  <c r="C81" i="5"/>
  <c r="C82" i="5"/>
  <c r="C83" i="5"/>
  <c r="C84" i="5"/>
  <c r="C85" i="5"/>
  <c r="C86" i="5"/>
  <c r="C87" i="5"/>
  <c r="C88" i="5"/>
  <c r="C89" i="5"/>
  <c r="C90" i="5"/>
  <c r="C91" i="5"/>
  <c r="C92" i="5"/>
  <c r="C93" i="5"/>
  <c r="C94" i="5"/>
  <c r="C95" i="5"/>
  <c r="C96" i="5"/>
  <c r="C97" i="5"/>
  <c r="C98" i="5"/>
  <c r="C99" i="5"/>
  <c r="C100" i="5"/>
  <c r="C101" i="5"/>
  <c r="C102" i="5"/>
  <c r="C103" i="5"/>
  <c r="C104" i="5"/>
  <c r="C105" i="5"/>
  <c r="C106" i="5"/>
  <c r="C107" i="5"/>
  <c r="C108" i="5"/>
  <c r="C109" i="5"/>
  <c r="C110" i="5"/>
  <c r="C111" i="5"/>
  <c r="C112" i="5"/>
  <c r="C113" i="5"/>
  <c r="C114" i="5"/>
  <c r="C115" i="5"/>
  <c r="C116" i="5"/>
  <c r="C117" i="5"/>
  <c r="C118" i="5"/>
  <c r="C119" i="5"/>
  <c r="C120" i="5"/>
  <c r="C121" i="5"/>
  <c r="C122" i="5"/>
  <c r="C123" i="5"/>
  <c r="C124" i="5"/>
  <c r="C125" i="5"/>
  <c r="C126" i="5"/>
  <c r="C127" i="5"/>
  <c r="C128" i="5"/>
  <c r="C129" i="5"/>
  <c r="C130" i="5"/>
  <c r="C131" i="5"/>
  <c r="C132" i="5"/>
  <c r="C133" i="5"/>
  <c r="C134" i="5"/>
  <c r="C135" i="5"/>
  <c r="C136" i="5"/>
  <c r="C137" i="5"/>
  <c r="C138" i="5"/>
  <c r="C139" i="5"/>
  <c r="C140" i="5"/>
  <c r="C141" i="5"/>
  <c r="C142" i="5"/>
  <c r="C143" i="5"/>
  <c r="C144" i="5"/>
  <c r="C145" i="5"/>
  <c r="C146" i="5"/>
  <c r="C147" i="5"/>
  <c r="C148" i="5"/>
  <c r="C149" i="5"/>
  <c r="C150" i="5"/>
  <c r="C151" i="5"/>
  <c r="C152" i="5"/>
  <c r="C153" i="5"/>
  <c r="C154" i="5"/>
  <c r="C155" i="5"/>
  <c r="C156" i="5"/>
  <c r="C157" i="5"/>
  <c r="C158" i="5"/>
  <c r="C159" i="5"/>
  <c r="C160" i="5"/>
  <c r="C161" i="5"/>
  <c r="C162" i="5"/>
  <c r="C163" i="5"/>
  <c r="C164" i="5"/>
  <c r="C165" i="5"/>
  <c r="C166" i="5"/>
  <c r="C167" i="5"/>
  <c r="C168" i="5"/>
  <c r="C169" i="5"/>
  <c r="C170" i="5"/>
  <c r="C171" i="5"/>
  <c r="C172" i="5"/>
  <c r="C173" i="5"/>
  <c r="C174" i="5"/>
  <c r="C175" i="5"/>
  <c r="C176" i="5"/>
  <c r="C177" i="5"/>
  <c r="C178" i="5"/>
  <c r="C179" i="5"/>
  <c r="C180" i="5"/>
  <c r="C181" i="5"/>
  <c r="C182" i="5"/>
  <c r="C183" i="5"/>
  <c r="C184" i="5"/>
  <c r="C185" i="5"/>
  <c r="C186" i="5"/>
  <c r="C187" i="5"/>
  <c r="C188" i="5"/>
  <c r="C189" i="5"/>
  <c r="C190" i="5"/>
  <c r="C191" i="5"/>
  <c r="C192" i="5"/>
  <c r="C193" i="5"/>
  <c r="C194" i="5"/>
  <c r="C195" i="5"/>
  <c r="C196" i="5"/>
  <c r="C197" i="5"/>
  <c r="C198" i="5"/>
  <c r="C199" i="5"/>
  <c r="C200" i="5"/>
  <c r="C201" i="5"/>
  <c r="C202" i="5"/>
  <c r="C203" i="5"/>
  <c r="C204" i="5"/>
  <c r="C205" i="5"/>
  <c r="C206" i="5"/>
  <c r="C207" i="5"/>
  <c r="C208" i="5"/>
  <c r="C209" i="5"/>
  <c r="C210" i="5"/>
  <c r="C211" i="5"/>
  <c r="C212" i="5"/>
  <c r="C213" i="5"/>
  <c r="C214" i="5"/>
  <c r="C215" i="5"/>
  <c r="C216" i="5"/>
  <c r="C217" i="5"/>
  <c r="C218" i="5"/>
  <c r="C219" i="5"/>
  <c r="C220" i="5"/>
  <c r="C221" i="5"/>
  <c r="C222" i="5"/>
  <c r="C223" i="5"/>
  <c r="C224" i="5"/>
  <c r="C225" i="5"/>
  <c r="C226" i="5"/>
  <c r="C227" i="5"/>
  <c r="C228" i="5"/>
  <c r="C229" i="5"/>
  <c r="C230" i="5"/>
  <c r="C231" i="5"/>
  <c r="C232" i="5"/>
  <c r="C233" i="5"/>
  <c r="C234" i="5"/>
  <c r="C235" i="5"/>
  <c r="C236" i="5"/>
  <c r="C237" i="5"/>
  <c r="C238" i="5"/>
  <c r="C239" i="5"/>
  <c r="C240" i="5"/>
  <c r="C241" i="5"/>
  <c r="C242" i="5"/>
  <c r="C243" i="5"/>
  <c r="C244" i="5"/>
  <c r="C245" i="5"/>
  <c r="C246" i="5"/>
  <c r="C247" i="5"/>
  <c r="C248" i="5"/>
  <c r="C249" i="5"/>
  <c r="C250" i="5"/>
  <c r="C251" i="5"/>
  <c r="C252" i="5"/>
  <c r="C253" i="5"/>
  <c r="C254" i="5"/>
  <c r="C255" i="5"/>
  <c r="C256" i="5"/>
  <c r="C257" i="5"/>
  <c r="C258" i="5"/>
  <c r="C259" i="5"/>
  <c r="C260" i="5"/>
  <c r="C261" i="5"/>
  <c r="C262" i="5"/>
  <c r="C263" i="5"/>
  <c r="C264" i="5"/>
  <c r="C265" i="5"/>
  <c r="C266" i="5"/>
  <c r="C267" i="5"/>
  <c r="C268" i="5"/>
  <c r="C269" i="5"/>
  <c r="C270" i="5"/>
  <c r="C271" i="5"/>
  <c r="C272" i="5"/>
  <c r="C273" i="5"/>
  <c r="C274" i="5"/>
  <c r="C275" i="5"/>
  <c r="C276" i="5"/>
  <c r="C277" i="5"/>
  <c r="C278" i="5"/>
  <c r="C279" i="5"/>
  <c r="C280" i="5"/>
  <c r="C281" i="5"/>
  <c r="C282" i="5"/>
  <c r="C283" i="5"/>
  <c r="C284" i="5"/>
  <c r="C285" i="5"/>
  <c r="C286" i="5"/>
  <c r="C287" i="5"/>
  <c r="C288" i="5"/>
  <c r="C289" i="5"/>
  <c r="C290" i="5"/>
  <c r="C291" i="5"/>
  <c r="C292" i="5"/>
  <c r="C293" i="5"/>
  <c r="C294" i="5"/>
  <c r="C295" i="5"/>
  <c r="C296" i="5"/>
  <c r="C297" i="5"/>
  <c r="C298" i="5"/>
  <c r="C299" i="5"/>
  <c r="C300" i="5"/>
  <c r="C301" i="5"/>
  <c r="C302" i="5"/>
  <c r="C303" i="5"/>
  <c r="C304" i="5"/>
  <c r="F5" i="5"/>
  <c r="F6" i="5"/>
  <c r="F7" i="5"/>
  <c r="F8" i="5"/>
  <c r="F9" i="5"/>
  <c r="F10" i="5"/>
  <c r="F11" i="5"/>
  <c r="F12" i="5"/>
  <c r="F13" i="5"/>
  <c r="F14" i="5"/>
  <c r="F15" i="5"/>
  <c r="F16" i="5"/>
  <c r="F17" i="5"/>
  <c r="F18" i="5"/>
  <c r="F19" i="5"/>
  <c r="F20" i="5"/>
  <c r="F21" i="5"/>
  <c r="F22" i="5"/>
  <c r="F23" i="5"/>
  <c r="F24" i="5"/>
  <c r="F25" i="5"/>
  <c r="F26" i="5"/>
  <c r="F27" i="5"/>
  <c r="F28" i="5"/>
  <c r="F29" i="5"/>
  <c r="F30" i="5"/>
  <c r="F31" i="5"/>
  <c r="F32" i="5"/>
  <c r="F33" i="5"/>
  <c r="F34" i="5"/>
  <c r="F35" i="5"/>
  <c r="F36" i="5"/>
  <c r="F37" i="5"/>
  <c r="F38" i="5"/>
  <c r="F39" i="5"/>
  <c r="F40" i="5"/>
  <c r="F41" i="5"/>
  <c r="F42" i="5"/>
  <c r="F43" i="5"/>
  <c r="F44" i="5"/>
  <c r="F45" i="5"/>
  <c r="F46" i="5"/>
  <c r="F47" i="5"/>
  <c r="F48" i="5"/>
  <c r="F49" i="5"/>
  <c r="F50" i="5"/>
  <c r="F51" i="5"/>
  <c r="F52" i="5"/>
  <c r="F53" i="5"/>
  <c r="F54" i="5"/>
  <c r="F55" i="5"/>
  <c r="F56" i="5"/>
  <c r="F57" i="5"/>
  <c r="F58" i="5"/>
  <c r="F59" i="5"/>
  <c r="F60" i="5"/>
  <c r="F61" i="5"/>
  <c r="F62" i="5"/>
  <c r="F63" i="5"/>
  <c r="F64" i="5"/>
  <c r="F65" i="5"/>
  <c r="F66" i="5"/>
  <c r="F67" i="5"/>
  <c r="F68" i="5"/>
  <c r="F69" i="5"/>
  <c r="F70" i="5"/>
  <c r="F71" i="5"/>
  <c r="F72" i="5"/>
  <c r="F73" i="5"/>
  <c r="F74" i="5"/>
  <c r="F75" i="5"/>
  <c r="F76" i="5"/>
  <c r="F77" i="5"/>
  <c r="F78" i="5"/>
  <c r="F79" i="5"/>
  <c r="F80" i="5"/>
  <c r="F81" i="5"/>
  <c r="F82" i="5"/>
  <c r="F83" i="5"/>
  <c r="F84" i="5"/>
  <c r="F85" i="5"/>
  <c r="F86" i="5"/>
  <c r="F87" i="5"/>
  <c r="F88" i="5"/>
  <c r="F89" i="5"/>
  <c r="F90" i="5"/>
  <c r="F91" i="5"/>
  <c r="F92" i="5"/>
  <c r="F93" i="5"/>
  <c r="F94" i="5"/>
  <c r="F95" i="5"/>
  <c r="F96" i="5"/>
  <c r="F97" i="5"/>
  <c r="F98" i="5"/>
  <c r="F99" i="5"/>
  <c r="F100" i="5"/>
  <c r="F101" i="5"/>
  <c r="F102" i="5"/>
  <c r="F103" i="5"/>
  <c r="F104" i="5"/>
  <c r="F105" i="5"/>
  <c r="F106" i="5"/>
  <c r="F107" i="5"/>
  <c r="F108" i="5"/>
  <c r="F109" i="5"/>
  <c r="F110" i="5"/>
  <c r="F111" i="5"/>
  <c r="F112" i="5"/>
  <c r="F113" i="5"/>
  <c r="F114" i="5"/>
  <c r="F115" i="5"/>
  <c r="F116" i="5"/>
  <c r="F117" i="5"/>
  <c r="F118" i="5"/>
  <c r="F119" i="5"/>
  <c r="F120" i="5"/>
  <c r="F121" i="5"/>
  <c r="F122" i="5"/>
  <c r="F123" i="5"/>
  <c r="F124" i="5"/>
  <c r="F125" i="5"/>
  <c r="F126" i="5"/>
  <c r="F127" i="5"/>
  <c r="F128" i="5"/>
  <c r="F129" i="5"/>
  <c r="F130" i="5"/>
  <c r="F131" i="5"/>
  <c r="F132" i="5"/>
  <c r="F133" i="5"/>
  <c r="F134" i="5"/>
  <c r="F135" i="5"/>
  <c r="F136" i="5"/>
  <c r="F137" i="5"/>
  <c r="F138" i="5"/>
  <c r="F139" i="5"/>
  <c r="F140" i="5"/>
  <c r="F141" i="5"/>
  <c r="F142" i="5"/>
  <c r="F143" i="5"/>
  <c r="F144" i="5"/>
  <c r="F145" i="5"/>
  <c r="F146" i="5"/>
  <c r="F147" i="5"/>
  <c r="F148" i="5"/>
  <c r="F149" i="5"/>
  <c r="F150" i="5"/>
  <c r="F151" i="5"/>
  <c r="F152" i="5"/>
  <c r="F153" i="5"/>
  <c r="F154" i="5"/>
  <c r="F155" i="5"/>
  <c r="F156" i="5"/>
  <c r="F157" i="5"/>
  <c r="F158" i="5"/>
  <c r="F159" i="5"/>
  <c r="F160" i="5"/>
  <c r="F161" i="5"/>
  <c r="F162" i="5"/>
  <c r="F163" i="5"/>
  <c r="F164" i="5"/>
  <c r="F165" i="5"/>
  <c r="F166" i="5"/>
  <c r="F167" i="5"/>
  <c r="F168" i="5"/>
  <c r="F169" i="5"/>
  <c r="F170" i="5"/>
  <c r="F171" i="5"/>
  <c r="F172" i="5"/>
  <c r="F173" i="5"/>
  <c r="F174" i="5"/>
  <c r="F175" i="5"/>
  <c r="F176" i="5"/>
  <c r="F177" i="5"/>
  <c r="F178" i="5"/>
  <c r="F179" i="5"/>
  <c r="F180" i="5"/>
  <c r="F181" i="5"/>
  <c r="F182" i="5"/>
  <c r="F183" i="5"/>
  <c r="F184" i="5"/>
  <c r="F185" i="5"/>
  <c r="F186" i="5"/>
  <c r="F187" i="5"/>
  <c r="F188" i="5"/>
  <c r="F189" i="5"/>
  <c r="F190" i="5"/>
  <c r="F191" i="5"/>
  <c r="F192" i="5"/>
  <c r="F193" i="5"/>
  <c r="F194" i="5"/>
  <c r="F195" i="5"/>
  <c r="F196" i="5"/>
  <c r="F197" i="5"/>
  <c r="F198" i="5"/>
  <c r="F199" i="5"/>
  <c r="F200" i="5"/>
  <c r="F201" i="5"/>
  <c r="F202" i="5"/>
  <c r="F203" i="5"/>
  <c r="F204" i="5"/>
  <c r="F205" i="5"/>
  <c r="F206" i="5"/>
  <c r="F207" i="5"/>
  <c r="F208" i="5"/>
  <c r="F209" i="5"/>
  <c r="F210" i="5"/>
  <c r="F211" i="5"/>
  <c r="F212" i="5"/>
  <c r="F213" i="5"/>
  <c r="F214" i="5"/>
  <c r="F215" i="5"/>
  <c r="F216" i="5"/>
  <c r="F217" i="5"/>
  <c r="F218" i="5"/>
  <c r="F219" i="5"/>
  <c r="F220" i="5"/>
  <c r="F221" i="5"/>
  <c r="F222" i="5"/>
  <c r="F223" i="5"/>
  <c r="F224" i="5"/>
  <c r="F225" i="5"/>
  <c r="F226" i="5"/>
  <c r="F227" i="5"/>
  <c r="F228" i="5"/>
  <c r="F229" i="5"/>
  <c r="F230" i="5"/>
  <c r="F231" i="5"/>
  <c r="F232" i="5"/>
  <c r="F233" i="5"/>
  <c r="F234" i="5"/>
  <c r="F235" i="5"/>
  <c r="F236" i="5"/>
  <c r="F237" i="5"/>
  <c r="F238" i="5"/>
  <c r="F239" i="5"/>
  <c r="F240" i="5"/>
  <c r="F241" i="5"/>
  <c r="F242" i="5"/>
  <c r="F243" i="5"/>
  <c r="F244" i="5"/>
  <c r="F245" i="5"/>
  <c r="F246" i="5"/>
  <c r="F247" i="5"/>
  <c r="F248" i="5"/>
  <c r="F249" i="5"/>
  <c r="F250" i="5"/>
  <c r="F251" i="5"/>
  <c r="F252" i="5"/>
  <c r="F253" i="5"/>
  <c r="F254" i="5"/>
  <c r="F255" i="5"/>
  <c r="F256" i="5"/>
  <c r="F257" i="5"/>
  <c r="F258" i="5"/>
  <c r="F259" i="5"/>
  <c r="F260" i="5"/>
  <c r="F261" i="5"/>
  <c r="F262" i="5"/>
  <c r="F263" i="5"/>
  <c r="F264" i="5"/>
  <c r="F265" i="5"/>
  <c r="F266" i="5"/>
  <c r="F267" i="5"/>
  <c r="F268" i="5"/>
  <c r="F269" i="5"/>
  <c r="F270" i="5"/>
  <c r="F271" i="5"/>
  <c r="F272" i="5"/>
  <c r="F273" i="5"/>
  <c r="F274" i="5"/>
  <c r="F275" i="5"/>
  <c r="F276" i="5"/>
  <c r="F277" i="5"/>
  <c r="F278" i="5"/>
  <c r="F279" i="5"/>
  <c r="F280" i="5"/>
  <c r="F281" i="5"/>
  <c r="F282" i="5"/>
  <c r="F283" i="5"/>
  <c r="F284" i="5"/>
  <c r="F285" i="5"/>
  <c r="F286" i="5"/>
  <c r="F287" i="5"/>
  <c r="F288" i="5"/>
  <c r="F289" i="5"/>
  <c r="F290" i="5"/>
  <c r="F291" i="5"/>
  <c r="F292" i="5"/>
  <c r="F293" i="5"/>
  <c r="F294" i="5"/>
  <c r="F295" i="5"/>
  <c r="F296" i="5"/>
  <c r="F297" i="5"/>
  <c r="F298" i="5"/>
  <c r="F299" i="5"/>
  <c r="F300" i="5"/>
  <c r="F301" i="5"/>
  <c r="F302" i="5"/>
  <c r="F303" i="5"/>
  <c r="F304" i="5"/>
  <c r="I5" i="5"/>
  <c r="I6" i="5"/>
  <c r="I7" i="5"/>
  <c r="I8" i="5"/>
  <c r="I9" i="5"/>
  <c r="I10" i="5"/>
  <c r="I11" i="5"/>
  <c r="I12" i="5"/>
  <c r="I13" i="5"/>
  <c r="I14" i="5"/>
  <c r="I15" i="5"/>
  <c r="I16" i="5"/>
  <c r="I17" i="5"/>
  <c r="I18" i="5"/>
  <c r="I19" i="5"/>
  <c r="I20" i="5"/>
  <c r="I21" i="5"/>
  <c r="I22" i="5"/>
  <c r="I23" i="5"/>
  <c r="I24" i="5"/>
  <c r="I25" i="5"/>
  <c r="I26" i="5"/>
  <c r="I27" i="5"/>
  <c r="I28" i="5"/>
  <c r="I29" i="5"/>
  <c r="I30" i="5"/>
  <c r="I31" i="5"/>
  <c r="I32" i="5"/>
  <c r="I33" i="5"/>
  <c r="I34" i="5"/>
  <c r="I35" i="5"/>
  <c r="I36" i="5"/>
  <c r="I37" i="5"/>
  <c r="I38" i="5"/>
  <c r="I39" i="5"/>
  <c r="I40" i="5"/>
  <c r="I41" i="5"/>
  <c r="I42" i="5"/>
  <c r="I43" i="5"/>
  <c r="I44" i="5"/>
  <c r="I45" i="5"/>
  <c r="I46" i="5"/>
  <c r="I47" i="5"/>
  <c r="I48" i="5"/>
  <c r="I49" i="5"/>
  <c r="I50" i="5"/>
  <c r="I51" i="5"/>
  <c r="I52" i="5"/>
  <c r="I53" i="5"/>
  <c r="I54" i="5"/>
  <c r="I55" i="5"/>
  <c r="I56" i="5"/>
  <c r="I57" i="5"/>
  <c r="I58" i="5"/>
  <c r="I59" i="5"/>
  <c r="I60" i="5"/>
  <c r="I61" i="5"/>
  <c r="I62" i="5"/>
  <c r="I63" i="5"/>
  <c r="I64" i="5"/>
  <c r="I65" i="5"/>
  <c r="I66" i="5"/>
  <c r="I67" i="5"/>
  <c r="I68" i="5"/>
  <c r="I69" i="5"/>
  <c r="I70" i="5"/>
  <c r="I71" i="5"/>
  <c r="I72" i="5"/>
  <c r="I73" i="5"/>
  <c r="I74" i="5"/>
  <c r="I75" i="5"/>
  <c r="I76" i="5"/>
  <c r="I77" i="5"/>
  <c r="I78" i="5"/>
  <c r="I79" i="5"/>
  <c r="I80" i="5"/>
  <c r="I81" i="5"/>
  <c r="I82" i="5"/>
  <c r="I83" i="5"/>
  <c r="I84" i="5"/>
  <c r="I85" i="5"/>
  <c r="I86" i="5"/>
  <c r="I87" i="5"/>
  <c r="I88" i="5"/>
  <c r="I89" i="5"/>
  <c r="I90" i="5"/>
  <c r="I91" i="5"/>
  <c r="I92" i="5"/>
  <c r="I93" i="5"/>
  <c r="I94" i="5"/>
  <c r="I95" i="5"/>
  <c r="I96" i="5"/>
  <c r="I97" i="5"/>
  <c r="I98" i="5"/>
  <c r="I99" i="5"/>
  <c r="I100" i="5"/>
  <c r="I101" i="5"/>
  <c r="I102" i="5"/>
  <c r="I103" i="5"/>
  <c r="I104" i="5"/>
  <c r="I105" i="5"/>
  <c r="I106" i="5"/>
  <c r="I107" i="5"/>
  <c r="I108" i="5"/>
  <c r="I109" i="5"/>
  <c r="I110" i="5"/>
  <c r="I111" i="5"/>
  <c r="I112" i="5"/>
  <c r="I113" i="5"/>
  <c r="I114" i="5"/>
  <c r="I115" i="5"/>
  <c r="I116" i="5"/>
  <c r="I117" i="5"/>
  <c r="I118" i="5"/>
  <c r="I119" i="5"/>
  <c r="I120" i="5"/>
  <c r="I121" i="5"/>
  <c r="I122" i="5"/>
  <c r="I123" i="5"/>
  <c r="I124" i="5"/>
  <c r="I125" i="5"/>
  <c r="I126" i="5"/>
  <c r="I127" i="5"/>
  <c r="I128" i="5"/>
  <c r="I129" i="5"/>
  <c r="I130" i="5"/>
  <c r="I131" i="5"/>
  <c r="I132" i="5"/>
  <c r="I133" i="5"/>
  <c r="I134" i="5"/>
  <c r="I135" i="5"/>
  <c r="I136" i="5"/>
  <c r="I137" i="5"/>
  <c r="I138" i="5"/>
  <c r="I139" i="5"/>
  <c r="I140" i="5"/>
  <c r="I141" i="5"/>
  <c r="I142" i="5"/>
  <c r="I143" i="5"/>
  <c r="I144" i="5"/>
  <c r="I145" i="5"/>
  <c r="I146" i="5"/>
  <c r="I147" i="5"/>
  <c r="I148" i="5"/>
  <c r="I149" i="5"/>
  <c r="I150" i="5"/>
  <c r="I151" i="5"/>
  <c r="I152" i="5"/>
  <c r="I153" i="5"/>
  <c r="I154" i="5"/>
  <c r="I155" i="5"/>
  <c r="I156" i="5"/>
  <c r="I157" i="5"/>
  <c r="I158" i="5"/>
  <c r="I159" i="5"/>
  <c r="I160" i="5"/>
  <c r="I161" i="5"/>
  <c r="I162" i="5"/>
  <c r="I163" i="5"/>
  <c r="I164" i="5"/>
  <c r="I165" i="5"/>
  <c r="I166" i="5"/>
  <c r="I167" i="5"/>
  <c r="I168" i="5"/>
  <c r="I169" i="5"/>
  <c r="I170" i="5"/>
  <c r="I171" i="5"/>
  <c r="I172" i="5"/>
  <c r="I173" i="5"/>
  <c r="I174" i="5"/>
  <c r="I175" i="5"/>
  <c r="I176" i="5"/>
  <c r="I177" i="5"/>
  <c r="I178" i="5"/>
  <c r="I179" i="5"/>
  <c r="I180" i="5"/>
  <c r="I181" i="5"/>
  <c r="I182" i="5"/>
  <c r="I183" i="5"/>
  <c r="I184" i="5"/>
  <c r="I185" i="5"/>
  <c r="I186" i="5"/>
  <c r="I187" i="5"/>
  <c r="I188" i="5"/>
  <c r="I189" i="5"/>
  <c r="I190" i="5"/>
  <c r="I191" i="5"/>
  <c r="I192" i="5"/>
  <c r="I193" i="5"/>
  <c r="I194" i="5"/>
  <c r="I195" i="5"/>
  <c r="I196" i="5"/>
  <c r="I197" i="5"/>
  <c r="I198" i="5"/>
  <c r="I199" i="5"/>
  <c r="I200" i="5"/>
  <c r="I201" i="5"/>
  <c r="I202" i="5"/>
  <c r="I203" i="5"/>
  <c r="I204" i="5"/>
  <c r="I205" i="5"/>
  <c r="I206" i="5"/>
  <c r="I207" i="5"/>
  <c r="I208" i="5"/>
  <c r="I209" i="5"/>
  <c r="I210" i="5"/>
  <c r="I211" i="5"/>
  <c r="I212" i="5"/>
  <c r="I213" i="5"/>
  <c r="I214" i="5"/>
  <c r="I215" i="5"/>
  <c r="I216" i="5"/>
  <c r="I217" i="5"/>
  <c r="I218" i="5"/>
  <c r="I219" i="5"/>
  <c r="I220" i="5"/>
  <c r="I221" i="5"/>
  <c r="I222" i="5"/>
  <c r="I223" i="5"/>
  <c r="I224" i="5"/>
  <c r="I225" i="5"/>
  <c r="I226" i="5"/>
  <c r="I227" i="5"/>
  <c r="I228" i="5"/>
  <c r="I229" i="5"/>
  <c r="I230" i="5"/>
  <c r="I231" i="5"/>
  <c r="I232" i="5"/>
  <c r="I233" i="5"/>
  <c r="I234" i="5"/>
  <c r="I235" i="5"/>
  <c r="I236" i="5"/>
  <c r="I237" i="5"/>
  <c r="I238" i="5"/>
  <c r="I239" i="5"/>
  <c r="I240" i="5"/>
  <c r="I241" i="5"/>
  <c r="I242" i="5"/>
  <c r="I243" i="5"/>
  <c r="I244" i="5"/>
  <c r="I245" i="5"/>
  <c r="I246" i="5"/>
  <c r="I247" i="5"/>
  <c r="I248" i="5"/>
  <c r="I249" i="5"/>
  <c r="I250" i="5"/>
  <c r="I251" i="5"/>
  <c r="I252" i="5"/>
  <c r="I253" i="5"/>
  <c r="I254" i="5"/>
  <c r="I255" i="5"/>
  <c r="I256" i="5"/>
  <c r="I257" i="5"/>
  <c r="I258" i="5"/>
  <c r="I259" i="5"/>
  <c r="I260" i="5"/>
  <c r="I261" i="5"/>
  <c r="I262" i="5"/>
  <c r="I263" i="5"/>
  <c r="I264" i="5"/>
  <c r="I265" i="5"/>
  <c r="I266" i="5"/>
  <c r="I267" i="5"/>
  <c r="I268" i="5"/>
  <c r="I269" i="5"/>
  <c r="I270" i="5"/>
  <c r="I271" i="5"/>
  <c r="I272" i="5"/>
  <c r="I273" i="5"/>
  <c r="I274" i="5"/>
  <c r="I275" i="5"/>
  <c r="I276" i="5"/>
  <c r="I277" i="5"/>
  <c r="I278" i="5"/>
  <c r="I279" i="5"/>
  <c r="I280" i="5"/>
  <c r="I281" i="5"/>
  <c r="I282" i="5"/>
  <c r="I283" i="5"/>
  <c r="I284" i="5"/>
  <c r="I285" i="5"/>
  <c r="I286" i="5"/>
  <c r="I287" i="5"/>
  <c r="I288" i="5"/>
  <c r="I289" i="5"/>
  <c r="I290" i="5"/>
  <c r="I291" i="5"/>
  <c r="I292" i="5"/>
  <c r="I293" i="5"/>
  <c r="I294" i="5"/>
  <c r="I295" i="5"/>
  <c r="I296" i="5"/>
  <c r="I297" i="5"/>
  <c r="I298" i="5"/>
  <c r="I299" i="5"/>
  <c r="I300" i="5"/>
  <c r="I301" i="5"/>
  <c r="I302" i="5"/>
  <c r="I303" i="5"/>
  <c r="I304" i="5"/>
  <c r="E10" i="4" l="1"/>
  <c r="F9" i="4"/>
  <c r="B24" i="3"/>
  <c r="AB2" i="2"/>
  <c r="AB1" i="2"/>
  <c r="D1" i="2"/>
  <c r="E11" i="4" l="1"/>
  <c r="F10" i="4"/>
  <c r="F11" i="4" l="1"/>
  <c r="E12" i="4"/>
  <c r="F12" i="4" l="1"/>
  <c r="E13" i="4"/>
  <c r="E14" i="4" l="1"/>
  <c r="F13" i="4"/>
  <c r="E15" i="4" l="1"/>
  <c r="F14" i="4"/>
  <c r="F15" i="4" l="1"/>
  <c r="E16" i="4"/>
  <c r="F16" i="4" l="1"/>
  <c r="E17" i="4"/>
  <c r="E18" i="4" l="1"/>
  <c r="F17" i="4"/>
  <c r="E19" i="4" l="1"/>
  <c r="F18" i="4"/>
  <c r="F19" i="4" l="1"/>
  <c r="E20" i="4"/>
  <c r="F20" i="4" l="1"/>
  <c r="E21" i="4"/>
  <c r="E22" i="4" l="1"/>
  <c r="F21" i="4"/>
  <c r="E23" i="4" l="1"/>
  <c r="F22" i="4"/>
  <c r="F23" i="4" l="1"/>
  <c r="E24" i="4"/>
  <c r="F24" i="4" l="1"/>
  <c r="E25" i="4"/>
  <c r="E26" i="4" l="1"/>
  <c r="F25" i="4"/>
  <c r="E27" i="4" l="1"/>
  <c r="F26" i="4"/>
  <c r="F27" i="4" l="1"/>
  <c r="E28" i="4"/>
  <c r="F28" i="4" s="1"/>
</calcChain>
</file>

<file path=xl/sharedStrings.xml><?xml version="1.0" encoding="utf-8"?>
<sst xmlns="http://schemas.openxmlformats.org/spreadsheetml/2006/main" count="1559" uniqueCount="1201">
  <si>
    <t>프로젝트 착수</t>
  </si>
  <si>
    <t>Man/Day</t>
    <phoneticPr fontId="8" type="noConversion"/>
  </si>
  <si>
    <t>Man-Day</t>
  </si>
  <si>
    <t>Man-Month</t>
  </si>
  <si>
    <t>Total</t>
  </si>
  <si>
    <t>ITEM</t>
    <phoneticPr fontId="8" type="noConversion"/>
  </si>
  <si>
    <t>VALUE1</t>
    <phoneticPr fontId="8" type="noConversion"/>
  </si>
  <si>
    <t>VALUE2</t>
    <phoneticPr fontId="8" type="noConversion"/>
  </si>
  <si>
    <t>VALUE3</t>
  </si>
  <si>
    <t>INSERTED_DATE</t>
    <phoneticPr fontId="8" type="noConversion"/>
  </si>
  <si>
    <t>UPDATED_DATE</t>
    <phoneticPr fontId="8" type="noConversion"/>
  </si>
  <si>
    <t>COMPANY</t>
    <phoneticPr fontId="8" type="noConversion"/>
  </si>
  <si>
    <t>XLWorks</t>
    <phoneticPr fontId="8" type="noConversion"/>
  </si>
  <si>
    <t>DO NOT UPDATE</t>
    <phoneticPr fontId="8" type="noConversion"/>
  </si>
  <si>
    <t>AUTHOR_EMAIL</t>
    <phoneticPr fontId="8" type="noConversion"/>
  </si>
  <si>
    <t>PROGRAM_NAME</t>
    <phoneticPr fontId="8" type="noConversion"/>
  </si>
  <si>
    <t>XLGantt</t>
  </si>
  <si>
    <t>PROGRAM_SITE</t>
    <phoneticPr fontId="8" type="noConversion"/>
  </si>
  <si>
    <t>http://xlworks.net</t>
    <phoneticPr fontId="8" type="noConversion"/>
  </si>
  <si>
    <t>PROGRAM_SITE_DISP</t>
    <phoneticPr fontId="8" type="noConversion"/>
  </si>
  <si>
    <t>VERSION</t>
    <phoneticPr fontId="8" type="noConversion"/>
  </si>
  <si>
    <t>DO NOT UPDATE</t>
    <phoneticPr fontId="8" type="noConversion"/>
  </si>
  <si>
    <t>RELEASE_DATE</t>
    <phoneticPr fontId="8" type="noConversion"/>
  </si>
  <si>
    <t>LICENSE</t>
    <phoneticPr fontId="8" type="noConversion"/>
  </si>
  <si>
    <t>Freeware</t>
    <phoneticPr fontId="8" type="noConversion"/>
  </si>
  <si>
    <t>Name:projectName</t>
  </si>
  <si>
    <t>Name:isConfirmedProjectBasicInfo</t>
  </si>
  <si>
    <t>Name:projectStartDate</t>
  </si>
  <si>
    <t>Name:projectEndDate</t>
  </si>
  <si>
    <t>Name:optScheduleChangeMgt</t>
  </si>
  <si>
    <t>Name:optPlanRateCriteriaDate</t>
  </si>
  <si>
    <t>Name:chkDeliverablesMgt</t>
    <phoneticPr fontId="8" type="noConversion"/>
  </si>
  <si>
    <t>Name:savePathType</t>
    <phoneticPr fontId="8" type="noConversion"/>
  </si>
  <si>
    <t>Name:txtDefinedPath</t>
    <phoneticPr fontId="8" type="noConversion"/>
  </si>
  <si>
    <t>Name:txtAutoDefinedBasePath</t>
    <phoneticPr fontId="8" type="noConversion"/>
  </si>
  <si>
    <t>Name:txtPgmName1</t>
    <phoneticPr fontId="8" type="noConversion"/>
  </si>
  <si>
    <t>Name:txtFileExt1</t>
  </si>
  <si>
    <t>Name:txtPgmPath1</t>
    <phoneticPr fontId="8" type="noConversion"/>
  </si>
  <si>
    <t>Name:chkInclude2SelectList1</t>
    <phoneticPr fontId="8" type="noConversion"/>
  </si>
  <si>
    <t>Name:txtPgmName2</t>
    <phoneticPr fontId="8" type="noConversion"/>
  </si>
  <si>
    <t>Name:txtFileExt2</t>
    <phoneticPr fontId="8" type="noConversion"/>
  </si>
  <si>
    <t>Name:txtPgmPath2</t>
    <phoneticPr fontId="8" type="noConversion"/>
  </si>
  <si>
    <t>Name:chkInclude2SelectList2</t>
    <phoneticPr fontId="8" type="noConversion"/>
  </si>
  <si>
    <t>Name:txtPgmName3</t>
    <phoneticPr fontId="8" type="noConversion"/>
  </si>
  <si>
    <t>Name:txtFileExt3</t>
    <phoneticPr fontId="8" type="noConversion"/>
  </si>
  <si>
    <t>Name:txtPgmPath3</t>
    <phoneticPr fontId="8" type="noConversion"/>
  </si>
  <si>
    <t>Name:chkInclude2SelectList3</t>
    <phoneticPr fontId="8" type="noConversion"/>
  </si>
  <si>
    <t>Name:txtPgmName4</t>
    <phoneticPr fontId="8" type="noConversion"/>
  </si>
  <si>
    <t>Name:txtFileExt4</t>
    <phoneticPr fontId="8" type="noConversion"/>
  </si>
  <si>
    <t>Name:txtPgmPath4</t>
    <phoneticPr fontId="8" type="noConversion"/>
  </si>
  <si>
    <t>Name:chkInclude2SelectList4</t>
    <phoneticPr fontId="8" type="noConversion"/>
  </si>
  <si>
    <t>Name:txtPgmName5</t>
    <phoneticPr fontId="8" type="noConversion"/>
  </si>
  <si>
    <t>Name:txtFileExt5</t>
    <phoneticPr fontId="8" type="noConversion"/>
  </si>
  <si>
    <t>Name:txtPgmPath5</t>
    <phoneticPr fontId="8" type="noConversion"/>
  </si>
  <si>
    <t>Name:chkInclude2SelectList5</t>
    <phoneticPr fontId="8" type="noConversion"/>
  </si>
  <si>
    <t>Name:txtPgmName6</t>
  </si>
  <si>
    <t>Name:txtFileExt6</t>
  </si>
  <si>
    <t>Name:txtPgmPath6</t>
  </si>
  <si>
    <t>Name:chkInclude2SelectList6</t>
  </si>
  <si>
    <t>Name:txtPgmName7</t>
  </si>
  <si>
    <t>Name:txtFileExt7</t>
  </si>
  <si>
    <t>Name:txtPgmPath7</t>
  </si>
  <si>
    <t>Name:chkInclude2SelectList7</t>
  </si>
  <si>
    <t>Name:txtPgmName8</t>
  </si>
  <si>
    <t>Name:txtFileExt8</t>
  </si>
  <si>
    <t>Name:txtPgmPath8</t>
  </si>
  <si>
    <t>Name:chkInclude2SelectList8</t>
  </si>
  <si>
    <t>English</t>
  </si>
  <si>
    <t>Korean</t>
  </si>
  <si>
    <t xml:space="preserve">              From                      To</t>
  </si>
  <si>
    <t xml:space="preserve">           Field Name         Example</t>
  </si>
  <si>
    <t xml:space="preserve">       Field Name           Field Value</t>
  </si>
  <si>
    <t xml:space="preserve"> Mapped</t>
  </si>
  <si>
    <t xml:space="preserve"> Setting nonworking days in the project calendar</t>
  </si>
  <si>
    <t>%Work Complete</t>
  </si>
  <si>
    <t>%Work Complete(B)</t>
  </si>
  <si>
    <t>%Work Complete(C/A)</t>
  </si>
  <si>
    <t>%Work\nComplete</t>
  </si>
  <si>
    <t>* Automactically calulated if you click the "Update Schedule" button</t>
  </si>
  <si>
    <t>* Choose a language</t>
  </si>
  <si>
    <t>* This sheet shows you tasks, workloads, progresses(%Work complete), etc by resources.</t>
  </si>
  <si>
    <t>* This sheet shows you workload allocations by resources.</t>
  </si>
  <si>
    <t>* This sheet shows you workload and %Work complete.</t>
  </si>
  <si>
    <t>* You need to click the "Planned Progress" button to update the contents.</t>
  </si>
  <si>
    <t>* You need to click the "Progresses by Resources" button to update contents.</t>
  </si>
  <si>
    <t>* You need to click the "Workloads by Resources" button to update the contents.</t>
  </si>
  <si>
    <t>[Resources unspecified]</t>
  </si>
  <si>
    <t>{} "Outlook Appointment(s)" have been added.</t>
  </si>
  <si>
    <t>{} file does not exist.</t>
  </si>
  <si>
    <t>&lt;&lt; Remove</t>
  </si>
  <si>
    <t>&lt;&lt; Unmap</t>
  </si>
  <si>
    <t>About</t>
  </si>
  <si>
    <t>Accumulated\nMan-Day</t>
  </si>
  <si>
    <t>Actual %Complete is invalid. Enter a number only. Verify row {} of the source file.</t>
  </si>
  <si>
    <t>Actual %Work Complete from the start date to the current date</t>
  </si>
  <si>
    <t>Actual Finish Date</t>
  </si>
  <si>
    <t>Actual finish date field of a task. It must be in date format.</t>
  </si>
  <si>
    <t>Actual finish date is invalid.</t>
  </si>
  <si>
    <t>Actual finish date is invalid. Verify row {} of the source file.</t>
  </si>
  <si>
    <t>Actual progress rate(%Work Complete) field.</t>
  </si>
  <si>
    <t>Actual Start Date</t>
  </si>
  <si>
    <t>Actual start date field of a task. It must be in date format.</t>
  </si>
  <si>
    <t>Actual start date is invalid.</t>
  </si>
  <si>
    <t>Actual start date is invalid. Verify row {} of the source file.</t>
  </si>
  <si>
    <t>Actual Total\nDuration</t>
  </si>
  <si>
    <t>Actual Total\nWork(Total\nManDay)</t>
  </si>
  <si>
    <t>Actual\nFinish</t>
  </si>
  <si>
    <t>Actual\nStart</t>
  </si>
  <si>
    <t>Actual\nTotal Duration</t>
  </si>
  <si>
    <t>Actual\nTotal Work</t>
  </si>
  <si>
    <t>Actually performed workload</t>
  </si>
  <si>
    <t>Actually Performed workload when managing schedule changes</t>
  </si>
  <si>
    <t>Actually performed workload when not managing schedule changes(Total Duration x %Work Complete)</t>
  </si>
  <si>
    <t>Add &gt;&gt;</t>
  </si>
  <si>
    <t>Add Languages</t>
  </si>
  <si>
    <t>Add to MS Outlook Calendar</t>
  </si>
  <si>
    <t>After turning off filtering, we'll proceed.</t>
  </si>
  <si>
    <t>All tasks</t>
  </si>
  <si>
    <t>An error occurred while checking for updates. Please try again \nError Message: {}</t>
  </si>
  <si>
    <t>An error occurred while checking XLGantt cell formats. Please restart XLGantt.</t>
  </si>
  <si>
    <t>An error occurred while processing. Please check the messages below.</t>
  </si>
  <si>
    <t>Analysis</t>
  </si>
  <si>
    <t>Automatically defined</t>
  </si>
  <si>
    <t>Available Languages</t>
  </si>
  <si>
    <t>Because the following task already has been added, XLGantt does not add it to "Outlook".\n\nTask Name : {1} \nStart Date : {2}</t>
  </si>
  <si>
    <t>blabla</t>
  </si>
  <si>
    <t>...</t>
  </si>
  <si>
    <t>Calculation Base Date of Planned %Work Complete</t>
  </si>
  <si>
    <t>Calculation Base Date of Planned %Work Complete must be greater than or equal to project start date.</t>
  </si>
  <si>
    <t>Calculation Base Date of Planned %Work Complete must be less than or equal to project finish date.</t>
  </si>
  <si>
    <t>Calendar</t>
  </si>
  <si>
    <t>Cancel</t>
  </si>
  <si>
    <t>Chart</t>
  </si>
  <si>
    <t>Check for Updates</t>
  </si>
  <si>
    <t>Check if you save deliverables in specific directory</t>
  </si>
  <si>
    <t>Choose a language used in XLGantt</t>
  </si>
  <si>
    <t>Choose a language used in XLGantt.</t>
  </si>
  <si>
    <t>Choose a language.</t>
  </si>
  <si>
    <t>Choose directly</t>
  </si>
  <si>
    <t>Choose the Type of Deliverables</t>
  </si>
  <si>
    <t>Close</t>
  </si>
  <si>
    <t>Days (Average number of working days per month)</t>
  </si>
  <si>
    <t>Deliverables</t>
  </si>
  <si>
    <t>Deliverables field.</t>
  </si>
  <si>
    <t>Deliverables type is not selected</t>
  </si>
  <si>
    <t>Display the task name in the same field</t>
  </si>
  <si>
    <t>Display the total workload of the project</t>
  </si>
  <si>
    <t>Displays the task name in the different field for each level</t>
  </si>
  <si>
    <t>Download the latest version</t>
  </si>
  <si>
    <t>Edit a Task</t>
  </si>
  <si>
    <t>Enabled Languages</t>
  </si>
  <si>
    <t>Error! Calculated Total Man-Day is different from the Total Man-Day of the {} sheet.</t>
  </si>
  <si>
    <t>Error! Cause may be one of the following.\n * File is invalid(e.g. the XLGantt file corrupted)\n * Not XLGantt file but General Excel file\n\n Please check the messages below for details.</t>
  </si>
  <si>
    <t>Error, Invalid field specified.</t>
  </si>
  <si>
    <t>Etc</t>
  </si>
  <si>
    <t>Excel</t>
  </si>
  <si>
    <t>Execution path of Program</t>
  </si>
  <si>
    <t>Extension</t>
  </si>
  <si>
    <t>Filter</t>
  </si>
  <si>
    <t>Filter Task</t>
  </si>
  <si>
    <t>Finish</t>
  </si>
  <si>
    <t>Finish Date</t>
  </si>
  <si>
    <t>Finish date field of a task. It must be in date format.</t>
  </si>
  <si>
    <t>Finish date is invalid.</t>
  </si>
  <si>
    <t>Finish date is invalid. Verify row {} of the source file.</t>
  </si>
  <si>
    <t>Follow the language setting of your computer O/S</t>
  </si>
  <si>
    <t>Fri</t>
  </si>
  <si>
    <t>From (File to import )</t>
  </si>
  <si>
    <t>General</t>
  </si>
  <si>
    <t>If the language in source file and the language in target file are different, you can not import.</t>
  </si>
  <si>
    <t>If you choose "Assigning path by task name automatically" option, you need to set the upper path.</t>
  </si>
  <si>
    <t>If you do not enter the actual finish date of row number {1} in the {2} sheet, you can't enter "%Work Complete" as 100%.</t>
  </si>
  <si>
    <t>Import</t>
  </si>
  <si>
    <t>Import common Excel file</t>
  </si>
  <si>
    <t>Import data after clearing the existing data</t>
  </si>
  <si>
    <t>Import Data without Clearing the Existing Data</t>
  </si>
  <si>
    <t>Import files created in XLGantt</t>
  </si>
  <si>
    <t>Import new data into the Schedule sheet after clearing the exisint data</t>
  </si>
  <si>
    <t>Import new data into the Schedule sheet without clearing the existing  data</t>
  </si>
  <si>
    <t>Import Option</t>
  </si>
  <si>
    <t xml:space="preserve">Import success!\nTotal rows of imported data : </t>
  </si>
  <si>
    <t>Import without clearing the existing data.</t>
  </si>
  <si>
    <t>Import Wizard</t>
  </si>
  <si>
    <t>Importing..., Please wait...</t>
  </si>
  <si>
    <t>Indent Task</t>
  </si>
  <si>
    <t>It recalculates duration and % Work Complete. Clicking the Save button will be the same.</t>
  </si>
  <si>
    <t>It's already chosen language.</t>
  </si>
  <si>
    <t>Job Results</t>
  </si>
  <si>
    <t>John</t>
  </si>
  <si>
    <t>Language</t>
  </si>
  <si>
    <t>License</t>
  </si>
  <si>
    <t>Managing Schedule Changes</t>
  </si>
  <si>
    <t>Map &gt;&gt;</t>
  </si>
  <si>
    <t>Mapping &gt;&gt;</t>
  </si>
  <si>
    <t>mm/dd/yyyy</t>
  </si>
  <si>
    <t>mmmm yyyy</t>
  </si>
  <si>
    <t>Mon</t>
  </si>
  <si>
    <t>Name of Nonworking Days</t>
  </si>
  <si>
    <t>Next &gt;&gt;</t>
  </si>
  <si>
    <t>Nonworking Days</t>
  </si>
  <si>
    <t>Not Managing Schedule Changes</t>
  </si>
  <si>
    <t>Not Specified(Standard Calendar)</t>
  </si>
  <si>
    <t>Note</t>
  </si>
  <si>
    <t>Of the first two rows, at least one has been deleted. Please retry after changing the sheet to its previous state.</t>
  </si>
  <si>
    <t>Open Deliverables</t>
  </si>
  <si>
    <t>Outdent Task</t>
  </si>
  <si>
    <t>Outline Level</t>
  </si>
  <si>
    <t>Performed Work(C)\nMan-day</t>
  </si>
  <si>
    <t>Performed workload on planned schedule</t>
  </si>
  <si>
    <t>Performed workload on planned schedule when managing schedule changes(Total Duration x %Work Complete)</t>
  </si>
  <si>
    <t>Pick a Date</t>
  </si>
  <si>
    <t>Planned %Work Complete calculation base date</t>
  </si>
  <si>
    <t>Planned %Work Complete from the start date to the current date</t>
  </si>
  <si>
    <t>Planned %Work Complete(A)</t>
  </si>
  <si>
    <t>Planned %Work Complete(B/A)</t>
  </si>
  <si>
    <t>Planned Progress</t>
  </si>
  <si>
    <t>Planned Work(B)\nMan-day</t>
  </si>
  <si>
    <t>Planned Work\n(ManDay to Today)</t>
  </si>
  <si>
    <t>Planned workload</t>
  </si>
  <si>
    <t>Planned workload from the start date to the current date</t>
  </si>
  <si>
    <t>Planned\n%Work Complete</t>
  </si>
  <si>
    <t>Planned\nDuration</t>
  </si>
  <si>
    <t>Planned\nWork</t>
  </si>
  <si>
    <t>Please choose a type of the task field.</t>
  </si>
  <si>
    <t>Please enter the extension.</t>
  </si>
  <si>
    <t>Please enter the path where deliverables are saved.</t>
  </si>
  <si>
    <t>Please enter the program execution path.</t>
  </si>
  <si>
    <t>Please set project calendars in this sheet.</t>
  </si>
  <si>
    <t>Positive - ahead of schedule, Negative - behind schedule</t>
  </si>
  <si>
    <t>Powerpoint</t>
  </si>
  <si>
    <t>Program Info</t>
  </si>
  <si>
    <t>Program Name</t>
  </si>
  <si>
    <t>Program Site</t>
  </si>
  <si>
    <t>Progress</t>
  </si>
  <si>
    <t>Progresses by Resources</t>
  </si>
  <si>
    <t>Project Execution Plan</t>
  </si>
  <si>
    <t>Project Information</t>
  </si>
  <si>
    <t>Project Name</t>
  </si>
  <si>
    <t>Project Progress - When managing schedule changes</t>
  </si>
  <si>
    <t>Project Progress - When not managing schedule changes</t>
  </si>
  <si>
    <t>Reformatting</t>
  </si>
  <si>
    <t>Regardless of the language setting in computer O/S, you can choose a language directly</t>
  </si>
  <si>
    <t>Release Date</t>
  </si>
  <si>
    <t>Resource field.</t>
  </si>
  <si>
    <t xml:space="preserve">Rows of imported data : </t>
  </si>
  <si>
    <t>Sat</t>
  </si>
  <si>
    <t>Save</t>
  </si>
  <si>
    <t>Schedule Change Management</t>
  </si>
  <si>
    <t>Schedule update has been completed.</t>
  </si>
  <si>
    <t>Schedule Variance(B-A)</t>
  </si>
  <si>
    <t>Search for the tasks based on criteria.</t>
  </si>
  <si>
    <t xml:space="preserve">Set path by the task name automatically\n(in this case, specify the upper path of automatically assigned path) </t>
  </si>
  <si>
    <t>Set program execution paths to open deliverables</t>
  </si>
  <si>
    <t>Set saving path of deliverables</t>
  </si>
  <si>
    <t>Settings</t>
  </si>
  <si>
    <t>Specific Date</t>
  </si>
  <si>
    <t>Specific path</t>
  </si>
  <si>
    <t>Standard Calendar</t>
  </si>
  <si>
    <t>Star(*) marks-required fields, orange columns-automatically calculated</t>
  </si>
  <si>
    <t>Start</t>
  </si>
  <si>
    <t>Start Date</t>
  </si>
  <si>
    <t>Start date field of a task. It must be in date format.</t>
  </si>
  <si>
    <t>Start date is invalid.</t>
  </si>
  <si>
    <t>Start date is invalid. Verify row {} of the source file.</t>
  </si>
  <si>
    <t>Start-Finish</t>
  </si>
  <si>
    <t>Sun</t>
  </si>
  <si>
    <t>Task</t>
  </si>
  <si>
    <t>Task area was not selected. Please select a task area.</t>
  </si>
  <si>
    <t>Task Name</t>
  </si>
  <si>
    <t>Task name field.It's also referred to as "Work" or "Activity" or etc.</t>
  </si>
  <si>
    <t>Task(Task name or Name) is missing.</t>
  </si>
  <si>
    <t>The "%Work Complete" column has been deleted. Please retry after changing the sheet to its previous state.</t>
  </si>
  <si>
    <t>The "%Work Complete" of row number {1} in the {2} sheet is not a number.</t>
  </si>
  <si>
    <t>The "Actual Finish Date" column has been deleted. Please retry after changing the sheet to its previous state.</t>
  </si>
  <si>
    <t>The "Actual Start Date" column has been deleted. Please retry after changing the sheet to its previous state.</t>
  </si>
  <si>
    <t>The "Actual Total Duration" column has been deleted. Please retry after changing the sheet to its previous state.</t>
  </si>
  <si>
    <t>The "Actual Total Work" column has been deleted. Please retry after changing the sheet to its previous state.</t>
  </si>
  <si>
    <t>The "Calendar" column has been deleted. Please retry after changing the sheet to its previous state.</t>
  </si>
  <si>
    <t>The "Deliverables" column has been deleted. Please retry after changing the sheet to its previous state.</t>
  </si>
  <si>
    <t>The "Finish Date" column has been deleted. Please retry after changing the sheet to its previous state.</t>
  </si>
  <si>
    <t>The "Note" column has been deleted. Please retry after changing the sheet to its previous state.</t>
  </si>
  <si>
    <t>The "Planned %Work Complete" column has been deleted. Please retry after changing the sheet to its previous state.</t>
  </si>
  <si>
    <t>The "Planned Duration" column has been deleted. Please retry after changing the sheet to its previous state.</t>
  </si>
  <si>
    <t>The "Planned Work" column has been deleted. Please retry after changing the sheet to its previous state.</t>
  </si>
  <si>
    <t>The "Resources" column has been deleted. Please retry after changing the sheet to its previous state.</t>
  </si>
  <si>
    <t>The "Start Date" column has been deleted. Please retry after changing the sheet to its previous state.</t>
  </si>
  <si>
    <t>The "Task" column has been deleted. Please retry after changing the sheet to its previous state.</t>
  </si>
  <si>
    <t>The "Total Duration" column has been deleted. Please retry after changing the sheet to its previous state.</t>
  </si>
  <si>
    <t>The "Total Work" column has been deleted. Please retry after changing the sheet to its previous state.</t>
  </si>
  <si>
    <t>The "WBS Level" column has been deleted. Please retry after changing the sheet to its previous state.</t>
  </si>
  <si>
    <t>The "WBS" column has been deleted. Please retry after changing the sheet to its previous state.</t>
  </si>
  <si>
    <t>The "Weight" column has been deleted. Please retry after changing the sheet to its previous state.</t>
  </si>
  <si>
    <t>The actual finish date format of row number {1} in the {2} sheet is invalid.</t>
  </si>
  <si>
    <t>The actual finish date of the row number {1} in the {2} sheet was entered, but the actual start date is empty.</t>
  </si>
  <si>
    <t>The actual start date format of row number {1} in the {2} sheet is invalid.</t>
  </si>
  <si>
    <t>The actual start date of row number {1} in the {2} sheet is later than the actual finish date.</t>
  </si>
  <si>
    <t>The count of level</t>
  </si>
  <si>
    <t>The date field of row number {1} in the {2} sheet was entered, but the task field is empty.\nEnter a value in the task field or clear the date field.</t>
  </si>
  <si>
    <t>The deliverables name is empty.</t>
  </si>
  <si>
    <t>The earliest start date({1}) of the tasks is earlier than the start date({2}) of the project.\n\nIn this case, there may be problems with resource calculations. Please change the start date to valid date.</t>
  </si>
  <si>
    <t>The finish date format of row number {1} in the {2} sheet is invalid.</t>
  </si>
  <si>
    <t>The first column of Gantt area has been deleted. Please retry after changing the sheet to its previous state.</t>
  </si>
  <si>
    <t>The following file formats are not supported. You can import files with version 0.9.7 or higher than 0.9.7.</t>
  </si>
  <si>
    <t>The following file formats are not supported. You can import the files if the version is 0.9.7 or higher than 0.9.7.</t>
  </si>
  <si>
    <t>The following files have been successfully imported.</t>
  </si>
  <si>
    <t>The following folder does not exist.</t>
  </si>
  <si>
    <t>The format of "Calculation Base Date of Planned %Work Complete" is invalid.</t>
  </si>
  <si>
    <t>The format of the project finish date is invalid.</t>
  </si>
  <si>
    <t>The format of the project start date is invalid.</t>
  </si>
  <si>
    <t>The job was not completed successfully.</t>
  </si>
  <si>
    <t>The latest finish date({1}) of the tasks is later than the finish date({2}) of the project.\n\nIn this case, there may be problems with resource calculations. Please change the finish date to valid date.</t>
  </si>
  <si>
    <t>The level of row {} is invalid.</t>
  </si>
  <si>
    <t>The number of Level must be less than or equal to {}</t>
  </si>
  <si>
    <t>The number of Level must be positive integer.</t>
  </si>
  <si>
    <t>The number of task columns is not 7. Please retry after changing the sheet to its previous state.</t>
  </si>
  <si>
    <t>The process was terminated due to the {} sheet error.</t>
  </si>
  <si>
    <t>The project finish date({}) you entered is not valid date format.</t>
  </si>
  <si>
    <t>The project start date({}) you entered is not valid date format.</t>
  </si>
  <si>
    <t>The start date format of row number {1} in the {2} sheet is invalid.</t>
  </si>
  <si>
    <t>The start date of row number {1} in the {2} sheet is later than the finish date.</t>
  </si>
  <si>
    <t>The task of the first row of the {} sheet is not level 1.</t>
  </si>
  <si>
    <t>The type of task fields</t>
  </si>
  <si>
    <t>The weight of row number {1} in the {2} sheet is not a number.</t>
  </si>
  <si>
    <t>There are no executable programs that open the deliverables.</t>
  </si>
  <si>
    <t>There is no data in the following files</t>
  </si>
  <si>
    <t>There is no input data</t>
  </si>
  <si>
    <t>There is no input data that will be calculated.</t>
  </si>
  <si>
    <t>There is no input data.</t>
  </si>
  <si>
    <t>There is no input data. Please enter after reformatting.</t>
  </si>
  <si>
    <t>There was an error in "Progress Line" drawing. This can happen if the actual start date or actual finish date is beyond the project period. Check the message below.</t>
  </si>
  <si>
    <t>This area can not be selected. Please select an area that contains tasks.</t>
  </si>
  <si>
    <t>This Month only</t>
  </si>
  <si>
    <t>This Week only</t>
  </si>
  <si>
    <t>Thu</t>
  </si>
  <si>
    <t>Time bucket type is invalid.</t>
  </si>
  <si>
    <t>To (XLGantt)</t>
  </si>
  <si>
    <t>Today</t>
  </si>
  <si>
    <t>Today only</t>
  </si>
  <si>
    <t>Total Work(A)\nMan-day</t>
  </si>
  <si>
    <t>Total Work\n(Total ManDay)</t>
  </si>
  <si>
    <t>Total workload of the project</t>
  </si>
  <si>
    <t>Total\nDuration</t>
  </si>
  <si>
    <t>Total\nWork</t>
  </si>
  <si>
    <t>Tue</t>
  </si>
  <si>
    <t>Type a number between 0% and 100% in "%Work Complete" field of row number {1} in the {2} sheet.</t>
  </si>
  <si>
    <t>UI Design</t>
  </si>
  <si>
    <t>Unable to open file. Please change the "Check if you save deliverables in specific directory" option to the checked state in the Setting&gt;Deliverables tab.</t>
  </si>
  <si>
    <t>Update Schedule</t>
  </si>
  <si>
    <t>Updates</t>
  </si>
  <si>
    <t>Updating schedule... \nplease wait...</t>
  </si>
  <si>
    <t>User Defined Calendar 1</t>
  </si>
  <si>
    <t>User Defined Calendar 2</t>
  </si>
  <si>
    <t>Variance(Actual-Planned)</t>
  </si>
  <si>
    <t>WBS</t>
  </si>
  <si>
    <t>WBS Level is invalid. Enter a number only. Verify row {} of the source file.</t>
  </si>
  <si>
    <t>WBS No.</t>
  </si>
  <si>
    <t>Wed</t>
  </si>
  <si>
    <t>Weight</t>
  </si>
  <si>
    <t>Weight is invalid.</t>
  </si>
  <si>
    <t>Weight must be greater than zero.</t>
  </si>
  <si>
    <t>Word</t>
  </si>
  <si>
    <t>Workload\n(Man-Day)</t>
  </si>
  <si>
    <t>Workload\n(Man-Month)</t>
  </si>
  <si>
    <t>Workloads by {}</t>
  </si>
  <si>
    <t>Workloads by Resouces</t>
  </si>
  <si>
    <t>Worloads by Resources</t>
  </si>
  <si>
    <t>XLGantt Version Check</t>
  </si>
  <si>
    <t>You are using the latest version of XLGantt.\nCurrent Verison : {}</t>
  </si>
  <si>
    <t>You can add "Outlook Appointments" only on the {} sheet.</t>
  </si>
  <si>
    <t>You can edit task only on the {} sheet.</t>
  </si>
  <si>
    <t>You can indent or outdent tasks only on the {} sheet.</t>
  </si>
  <si>
    <t>You can not add "Outlook Appointments" in the selected area.</t>
  </si>
  <si>
    <t>You can not add a column between column A and C because the range is reserved by XLGantt.</t>
  </si>
  <si>
    <t>You can not edit a task in the selected area.</t>
  </si>
  <si>
    <t>You can not enter any more.</t>
  </si>
  <si>
    <t>You can not indent any more!</t>
  </si>
  <si>
    <t>You can not indent or outdent the selected row.</t>
  </si>
  <si>
    <t>You can not outdent any more!</t>
  </si>
  <si>
    <t>You can not use "Microsoft Outlook". \nMake sure you properly installed it.</t>
  </si>
  <si>
    <t>You can open deliverables only on the {} Sheet.</t>
  </si>
  <si>
    <t>You can use only start and finish dates. So you can not manage schedule changes.</t>
  </si>
  <si>
    <t xml:space="preserve">You can use start and finish dates, actual start and finish dates. You can identify the schedule is delayed or aheaded by entering actual start and finish dates. </t>
  </si>
  <si>
    <t>You can't choose a field that is empty.</t>
  </si>
  <si>
    <t>You can't import an Excel Macro file. Please import after saving it as an xls or xlsx file. If it is an XLGantt file, you can import it at the menu "Import files created in XLGantt"</t>
  </si>
  <si>
    <t>You can't remove the default languages(English and Korean).</t>
  </si>
  <si>
    <t>You didn't choose a language.</t>
  </si>
  <si>
    <t>You didn't choose a source field.</t>
  </si>
  <si>
    <t>You didn't choose a target field.</t>
  </si>
  <si>
    <t>You didn't choose an unmap item.</t>
  </si>
  <si>
    <t>You selected {} areas. Please select only one area.</t>
  </si>
  <si>
    <t>There is an error in the total workload or planned workload field of row number {1} in the {2} sheet. Please check that the start / finish date was entered correctly, or that the formula is correct.</t>
  </si>
  <si>
    <t>wbs</t>
  </si>
  <si>
    <t>task</t>
  </si>
  <si>
    <t>resource</t>
  </si>
  <si>
    <t>start</t>
  </si>
  <si>
    <t>finish</t>
  </si>
  <si>
    <t>timebucket_start</t>
  </si>
  <si>
    <t>timebucket_finish</t>
  </si>
  <si>
    <t>workload</t>
  </si>
  <si>
    <t>AUTHOR_NAME</t>
    <phoneticPr fontId="8" type="noConversion"/>
  </si>
  <si>
    <t>admin@xlworks.net</t>
    <phoneticPr fontId="8" type="noConversion"/>
  </si>
  <si>
    <t>OPTIONS_GENERAL</t>
    <phoneticPr fontId="2" type="noConversion"/>
  </si>
  <si>
    <t>OPTIONS_DELIVERABLES_MGT</t>
    <phoneticPr fontId="2" type="noConversion"/>
  </si>
  <si>
    <t>OPTIONS_DELIVERABLES_PGM_PATH</t>
    <phoneticPr fontId="2" type="noConversion"/>
  </si>
  <si>
    <t>OPTIONS_WBS_GANTT</t>
    <phoneticPr fontId="2" type="noConversion"/>
  </si>
  <si>
    <t>Name:completeTaskGrayDisplay</t>
  </si>
  <si>
    <t>Name:taskDispInGroup</t>
  </si>
  <si>
    <t>Name:taskDispInSub</t>
  </si>
  <si>
    <t>Name:dateDisp</t>
  </si>
  <si>
    <t>Name:ganttColWidth</t>
  </si>
  <si>
    <t>Name:taskNameDisplayPosition</t>
  </si>
  <si>
    <t>Name:actualRateDisp</t>
  </si>
  <si>
    <t>Name:languageSelectionType</t>
  </si>
  <si>
    <t>Name:languageSelectedByManual</t>
  </si>
  <si>
    <t>Name:groupTaskInteriorGrayDisplay</t>
  </si>
  <si>
    <t>Name:setTaskDateToProjectDate</t>
  </si>
  <si>
    <t>Name:selectedLanguageList</t>
  </si>
  <si>
    <t>Name:lastTranslatedLanguage</t>
  </si>
  <si>
    <t>Name:scheduleSheetPosition</t>
  </si>
  <si>
    <t>OPTIONS_LANGUAGE</t>
    <phoneticPr fontId="2" type="noConversion"/>
  </si>
  <si>
    <t>Name:optFirstDayOfWeek</t>
  </si>
  <si>
    <t>Name:optGanttChartColumnDisplay</t>
  </si>
  <si>
    <t>Name:applyUserInputFirst</t>
  </si>
  <si>
    <t>Name:txtGanttChartZoomRatio</t>
  </si>
  <si>
    <t>Name:plannedRateDisp</t>
  </si>
  <si>
    <t>Name:chkWBSUpdateExecuteYN</t>
  </si>
  <si>
    <t>Name:chkCheckForUpdatesOnStartup</t>
  </si>
  <si>
    <t>프로젝트 계획 수립</t>
  </si>
  <si>
    <t>Name:resourceDisp</t>
  </si>
  <si>
    <t>Name:taskDisp</t>
  </si>
  <si>
    <t>Name:optNonWorkingDays</t>
  </si>
  <si>
    <t>1.2.1</t>
  </si>
  <si>
    <t>1.2.2</t>
  </si>
  <si>
    <t>1.2.3</t>
  </si>
  <si>
    <t>1.2.4</t>
  </si>
  <si>
    <t>1.3.1</t>
  </si>
  <si>
    <t>1.3.2</t>
  </si>
  <si>
    <t>1.3.3</t>
  </si>
  <si>
    <t>착수보고(Kick off)</t>
  </si>
  <si>
    <t>월간보고1</t>
  </si>
  <si>
    <t>월간보고2</t>
  </si>
  <si>
    <t>월간보고3</t>
  </si>
  <si>
    <t>종료계획수립</t>
  </si>
  <si>
    <t>시스템 인수인계</t>
  </si>
  <si>
    <t>종료보고</t>
  </si>
  <si>
    <t>검수 및 종료</t>
  </si>
  <si>
    <t>요구사항정의</t>
  </si>
  <si>
    <t>프로세스모델링</t>
  </si>
  <si>
    <t>데이터모델링</t>
  </si>
  <si>
    <t>1.1.2.1</t>
  </si>
  <si>
    <t>1.1.2.2</t>
  </si>
  <si>
    <t>1.3.4</t>
  </si>
  <si>
    <t>Workloads by Weeks</t>
  </si>
  <si>
    <t>* This sheet shows you workload allocations by weeks or months.</t>
  </si>
  <si>
    <t>* You need to click the "Workloads by Weeks" or "Workloads by Months" button to update the contents.</t>
  </si>
  <si>
    <t>"%Work Complete" is invalid. Type a number between 0% and 100%.</t>
  </si>
  <si>
    <t>"Outline level"(task Level) field. It displays the level of a task.Instead of "Outline level", you can use "WBS".</t>
  </si>
  <si>
    <t>"WBS"(Work Breakdown Structure) field. It displays the level of a task. Instead of WBS, you can use "Outline level".</t>
  </si>
  <si>
    <t>* Common Excel file, Not XLGantt file\n   (First row is title,from second rows are contents)\n* You can import only one file at once.</t>
  </si>
  <si>
    <t>* This sheet shows you planned project progresses by weeks.</t>
  </si>
  <si>
    <t>{} "Outlook Task(s)" have been added.</t>
  </si>
  <si>
    <t>12/1/2018</t>
  </si>
  <si>
    <t>12/31/2018</t>
  </si>
  <si>
    <t>Actual Finish</t>
  </si>
  <si>
    <t>Actual Start</t>
  </si>
  <si>
    <t>Actual Total Work\nMan-day</t>
  </si>
  <si>
    <t>Add to MS Outlook Task</t>
  </si>
  <si>
    <t>Bar chart Text Display Position</t>
  </si>
  <si>
    <t>Because the following task already has been added, XLGantt does not add it to "Outlook".\n\nTask Name : {1} \nDue Date : {2}</t>
  </si>
  <si>
    <t>By %Work Complete</t>
  </si>
  <si>
    <t>By Duration</t>
  </si>
  <si>
    <t>By Resource</t>
  </si>
  <si>
    <t xml:space="preserve">Check for Updates on Startup </t>
  </si>
  <si>
    <t>Choose a file type to import</t>
  </si>
  <si>
    <t>Choose an import option.</t>
  </si>
  <si>
    <t>Completed(=100%)</t>
  </si>
  <si>
    <t>Contains</t>
  </si>
  <si>
    <t>Current Version</t>
  </si>
  <si>
    <t>Daily</t>
  </si>
  <si>
    <t>Daily view</t>
  </si>
  <si>
    <t xml:space="preserve">Days counted as Nonworking days </t>
  </si>
  <si>
    <t>Display  % Work Complete</t>
  </si>
  <si>
    <t>Display date</t>
  </si>
  <si>
    <t>Display interior color to the gray for the task groups</t>
  </si>
  <si>
    <t>Display Planned %Work Complete</t>
  </si>
  <si>
    <t>Display resource</t>
  </si>
  <si>
    <t xml:space="preserve">Display task name </t>
  </si>
  <si>
    <t>Drawing Gantt chart</t>
  </si>
  <si>
    <t>Drawing progress line</t>
  </si>
  <si>
    <t xml:space="preserve">Duration </t>
  </si>
  <si>
    <t>Equals</t>
  </si>
  <si>
    <t>First day of week</t>
  </si>
  <si>
    <t>From Date is invalid.</t>
  </si>
  <si>
    <t>Gantt Chart Display</t>
  </si>
  <si>
    <t>Gantt Chart View Style</t>
  </si>
  <si>
    <t>Gantt Chart Zoom Ratio</t>
  </si>
  <si>
    <t>Included in the selection\nlist when deliverables\nnot specified</t>
  </si>
  <si>
    <t>Inside of the chart</t>
  </si>
  <si>
    <t>Left of the chart</t>
  </si>
  <si>
    <t>Monthly</t>
  </si>
  <si>
    <t>Monthly view</t>
  </si>
  <si>
    <t>Months</t>
  </si>
  <si>
    <t>New Version</t>
  </si>
  <si>
    <t>Not Completed(&lt;&gt;100%)</t>
  </si>
  <si>
    <t>Only the dates entered in the Calendar sheet</t>
  </si>
  <si>
    <t>Open Deliverables Folder</t>
  </si>
  <si>
    <t>Options</t>
  </si>
  <si>
    <t xml:space="preserve">Percent </t>
  </si>
  <si>
    <t>Planned Project Progresses by Weeks</t>
  </si>
  <si>
    <t>Project Scheduler</t>
  </si>
  <si>
    <t>Right of the chart</t>
  </si>
  <si>
    <t>Run "Update Schedule"  When Saving XLGantt File</t>
  </si>
  <si>
    <t>Select source files(Muliple Select)</t>
  </si>
  <si>
    <t>Set "the earlist start date and the lastest fisnish date of the tasks" to the Project Start-Finish date.</t>
  </si>
  <si>
    <t>The {} sheet does not exist. Please check that you changed or deleted the sheet.</t>
  </si>
  <si>
    <t>The {} sheet does not exist. Please check that you have changed or deleted the sheet.</t>
  </si>
  <si>
    <t>The actual start date of row number {1} in the {2} sheet is out of the project duration.</t>
  </si>
  <si>
    <t>The actual start or finish date of row number {1} in the {2} sheet is out of the project duration.</t>
  </si>
  <si>
    <t>The kind of period is invalid. You must enter one of the M(Months) or W(Weeks)</t>
  </si>
  <si>
    <t>The start date is later than the finish date.</t>
  </si>
  <si>
    <t>The start or finish date of row number {1} in the {2} sheet is out of the project duration.</t>
  </si>
  <si>
    <t>This XLGantt is not the latest version. Download the latest version from the following site.</t>
  </si>
  <si>
    <t>To Date is invalid.</t>
  </si>
  <si>
    <t>To import files from source to the target file, map the respective fields.\nSelect a field in source file first and then find a corresponding field in the target file.</t>
  </si>
  <si>
    <t>WBS Area Display</t>
  </si>
  <si>
    <t>WBS,Gantt Chart</t>
  </si>
  <si>
    <t>Weekly</t>
  </si>
  <si>
    <t>Weekly view</t>
  </si>
  <si>
    <t>Weeks</t>
  </si>
  <si>
    <t>Workloads by Months</t>
  </si>
  <si>
    <t>You can add "Outlook Tasks" only on the {} sheet.</t>
  </si>
  <si>
    <t>You can not add "Outlook Tasks" in the selected area.</t>
  </si>
  <si>
    <t>for import columun</t>
    <phoneticPr fontId="8" type="noConversion"/>
  </si>
  <si>
    <t>No need to enter in the Calendar sheet</t>
  </si>
  <si>
    <t>No need to enter Saturdays and Sundays in the Calendar sheet</t>
  </si>
  <si>
    <t>Once you choose "Display the task name in the same field" option, you should select a WBS No. or a WBS Level field.</t>
  </si>
  <si>
    <t>Only Saturdays and Sundays</t>
  </si>
  <si>
    <t>Please enter nonworking days only. All days other than nonworking days will be set as working days. \nWhen you enter nonworking days, XLGantt excludes them from calculations of working time.\n(However, depending on the calendar setting in the Options window, the calculation method of the nonworking day can be different)\nStandard calendar is the default calendar. If you want to specify a different calendar for a specific task, please use "User Defined Calendar 1" or "User Defined Calendar 2"</t>
    <phoneticPr fontId="2" type="noConversion"/>
  </si>
  <si>
    <t>프로젝트 관리</t>
  </si>
  <si>
    <r>
      <rPr>
        <sz val="9"/>
        <color theme="1"/>
        <rFont val="돋움"/>
        <family val="3"/>
        <charset val="129"/>
      </rPr>
      <t>실적</t>
    </r>
  </si>
  <si>
    <r>
      <rPr>
        <sz val="9"/>
        <color theme="1"/>
        <rFont val="돋움"/>
        <family val="3"/>
        <charset val="129"/>
      </rPr>
      <t>계획</t>
    </r>
  </si>
  <si>
    <r>
      <rPr>
        <sz val="9"/>
        <color theme="1"/>
        <rFont val="맑은 고딕"/>
        <family val="2"/>
      </rPr>
      <t>실적진척율</t>
    </r>
  </si>
  <si>
    <r>
      <rPr>
        <sz val="9"/>
        <color theme="1"/>
        <rFont val="맑은 고딕"/>
        <family val="2"/>
      </rPr>
      <t>실적</t>
    </r>
  </si>
  <si>
    <r>
      <t xml:space="preserve">&lt;&lt; </t>
    </r>
    <r>
      <rPr>
        <sz val="9"/>
        <color theme="1"/>
        <rFont val="맑은 고딕"/>
        <family val="2"/>
      </rPr>
      <t>제거</t>
    </r>
  </si>
  <si>
    <r>
      <t>&lt;&lt; Mapping</t>
    </r>
    <r>
      <rPr>
        <sz val="9"/>
        <color theme="1"/>
        <rFont val="맑은 고딕"/>
        <family val="2"/>
      </rPr>
      <t>취소</t>
    </r>
  </si>
  <si>
    <r>
      <rPr>
        <sz val="9"/>
        <color theme="1"/>
        <rFont val="맑은 고딕"/>
        <family val="2"/>
      </rPr>
      <t>실제완료일</t>
    </r>
  </si>
  <si>
    <r>
      <rPr>
        <sz val="9"/>
        <color theme="1"/>
        <rFont val="맑은 고딕"/>
        <family val="2"/>
      </rPr>
      <t>실제완료일자</t>
    </r>
  </si>
  <si>
    <r>
      <rPr>
        <sz val="9"/>
        <color theme="1"/>
        <rFont val="맑은 고딕"/>
        <family val="2"/>
      </rPr>
      <t>실제시작일</t>
    </r>
  </si>
  <si>
    <r>
      <rPr>
        <sz val="9"/>
        <color theme="1"/>
        <rFont val="맑은 고딕"/>
        <family val="2"/>
      </rPr>
      <t>실제시작일자</t>
    </r>
  </si>
  <si>
    <r>
      <rPr>
        <sz val="9"/>
        <color theme="1"/>
        <rFont val="맑은 고딕"/>
        <family val="2"/>
      </rPr>
      <t>분석</t>
    </r>
  </si>
  <si>
    <r>
      <rPr>
        <sz val="9"/>
        <color theme="1"/>
        <rFont val="맑은 고딕"/>
        <family val="2"/>
      </rPr>
      <t>자동지정</t>
    </r>
  </si>
  <si>
    <r>
      <rPr>
        <sz val="9"/>
        <color theme="1"/>
        <rFont val="맑은 고딕"/>
        <family val="2"/>
      </rPr>
      <t>완료율</t>
    </r>
  </si>
  <si>
    <r>
      <rPr>
        <sz val="9"/>
        <color theme="1"/>
        <rFont val="맑은 고딕"/>
        <family val="2"/>
      </rPr>
      <t>기간</t>
    </r>
  </si>
  <si>
    <r>
      <rPr>
        <sz val="9"/>
        <color theme="1"/>
        <rFont val="맑은 고딕"/>
        <family val="2"/>
      </rPr>
      <t>취소</t>
    </r>
  </si>
  <si>
    <r>
      <rPr>
        <sz val="9"/>
        <color theme="1"/>
        <rFont val="맑은 고딕"/>
        <family val="2"/>
      </rPr>
      <t>차트</t>
    </r>
  </si>
  <si>
    <r>
      <rPr>
        <sz val="9"/>
        <color theme="1"/>
        <rFont val="맑은 고딕"/>
        <family val="2"/>
      </rPr>
      <t>최신버전확인</t>
    </r>
  </si>
  <si>
    <r>
      <rPr>
        <sz val="9"/>
        <color theme="1"/>
        <rFont val="맑은 고딕"/>
        <family val="2"/>
      </rPr>
      <t>닫기</t>
    </r>
  </si>
  <si>
    <r>
      <rPr>
        <sz val="9"/>
        <color theme="1"/>
        <rFont val="맑은 고딕"/>
        <family val="2"/>
      </rPr>
      <t>완료</t>
    </r>
  </si>
  <si>
    <r>
      <rPr>
        <sz val="9"/>
        <color theme="1"/>
        <rFont val="맑은 고딕"/>
        <family val="2"/>
      </rPr>
      <t>포함</t>
    </r>
  </si>
  <si>
    <r>
      <rPr>
        <sz val="9"/>
        <color theme="1"/>
        <rFont val="맑은 고딕"/>
        <family val="2"/>
      </rPr>
      <t>일별</t>
    </r>
  </si>
  <si>
    <r>
      <rPr>
        <sz val="9"/>
        <color theme="1"/>
        <rFont val="맑은 고딕"/>
        <family val="2"/>
      </rPr>
      <t>일별보기</t>
    </r>
  </si>
  <si>
    <r>
      <rPr>
        <sz val="9"/>
        <color theme="1"/>
        <rFont val="맑은 고딕"/>
        <family val="2"/>
      </rPr>
      <t>산출물</t>
    </r>
  </si>
  <si>
    <r>
      <rPr>
        <sz val="9"/>
        <color theme="1"/>
        <rFont val="맑은 고딕"/>
        <family val="2"/>
      </rPr>
      <t>같음</t>
    </r>
  </si>
  <si>
    <r>
      <rPr>
        <sz val="9"/>
        <color theme="1"/>
        <rFont val="맑은 고딕"/>
        <family val="2"/>
      </rPr>
      <t>엑셀</t>
    </r>
  </si>
  <si>
    <r>
      <rPr>
        <sz val="9"/>
        <color theme="1"/>
        <rFont val="맑은 고딕"/>
        <family val="2"/>
      </rPr>
      <t>확장자명</t>
    </r>
  </si>
  <si>
    <r>
      <rPr>
        <sz val="9"/>
        <color theme="1"/>
        <rFont val="맑은 고딕"/>
        <family val="2"/>
      </rPr>
      <t>완료일</t>
    </r>
  </si>
  <si>
    <r>
      <rPr>
        <sz val="9"/>
        <color theme="1"/>
        <rFont val="맑은 고딕"/>
        <family val="2"/>
      </rPr>
      <t>완료일자</t>
    </r>
  </si>
  <si>
    <r>
      <rPr>
        <sz val="9"/>
        <color theme="1"/>
        <rFont val="맑은 고딕"/>
        <family val="2"/>
      </rPr>
      <t>금</t>
    </r>
  </si>
  <si>
    <r>
      <rPr>
        <sz val="9"/>
        <color theme="1"/>
        <rFont val="맑은 고딕"/>
        <family val="2"/>
      </rPr>
      <t>가져오기</t>
    </r>
  </si>
  <si>
    <r>
      <t xml:space="preserve">Chart </t>
    </r>
    <r>
      <rPr>
        <sz val="9"/>
        <color theme="1"/>
        <rFont val="맑은 고딕"/>
        <family val="2"/>
      </rPr>
      <t>내부</t>
    </r>
  </si>
  <si>
    <r>
      <rPr>
        <sz val="9"/>
        <color theme="1"/>
        <rFont val="맑은 고딕"/>
        <family val="2"/>
      </rPr>
      <t>작업결과</t>
    </r>
  </si>
  <si>
    <r>
      <rPr>
        <sz val="9"/>
        <color theme="1"/>
        <rFont val="맑은 고딕"/>
        <family val="2"/>
      </rPr>
      <t>홍길동</t>
    </r>
  </si>
  <si>
    <r>
      <t xml:space="preserve">Chart </t>
    </r>
    <r>
      <rPr>
        <sz val="9"/>
        <color theme="1"/>
        <rFont val="맑은 고딕"/>
        <family val="2"/>
      </rPr>
      <t>왼쪽</t>
    </r>
  </si>
  <si>
    <r>
      <rPr>
        <sz val="9"/>
        <color theme="1"/>
        <rFont val="맑은 고딕"/>
        <family val="2"/>
      </rPr>
      <t>라이선스</t>
    </r>
  </si>
  <si>
    <r>
      <rPr>
        <sz val="9"/>
        <color theme="1"/>
        <rFont val="맑은 고딕"/>
        <family val="2"/>
      </rPr>
      <t>월</t>
    </r>
  </si>
  <si>
    <r>
      <rPr>
        <sz val="9"/>
        <color theme="1"/>
        <rFont val="맑은 고딕"/>
        <family val="2"/>
      </rPr>
      <t>월별</t>
    </r>
  </si>
  <si>
    <r>
      <rPr>
        <sz val="9"/>
        <color theme="1"/>
        <rFont val="맑은 고딕"/>
        <family val="2"/>
      </rPr>
      <t>월별보기</t>
    </r>
  </si>
  <si>
    <r>
      <rPr>
        <sz val="9"/>
        <color theme="1"/>
        <rFont val="맑은 고딕"/>
        <family val="2"/>
      </rPr>
      <t>휴무일명</t>
    </r>
  </si>
  <si>
    <r>
      <rPr>
        <sz val="9"/>
        <color theme="1"/>
        <rFont val="맑은 고딕"/>
        <family val="2"/>
      </rPr>
      <t>휴무일자</t>
    </r>
  </si>
  <si>
    <r>
      <rPr>
        <sz val="9"/>
        <color theme="1"/>
        <rFont val="맑은 고딕"/>
        <family val="2"/>
      </rPr>
      <t>미완료</t>
    </r>
  </si>
  <si>
    <r>
      <rPr>
        <sz val="9"/>
        <color theme="1"/>
        <rFont val="맑은 고딕"/>
        <family val="2"/>
      </rPr>
      <t>비고</t>
    </r>
  </si>
  <si>
    <r>
      <rPr>
        <sz val="9"/>
        <color theme="1"/>
        <rFont val="맑은 고딕"/>
        <family val="2"/>
      </rPr>
      <t>옵션</t>
    </r>
  </si>
  <si>
    <r>
      <rPr>
        <sz val="9"/>
        <color theme="1"/>
        <rFont val="맑은 고딕"/>
        <family val="2"/>
      </rPr>
      <t>개요수준</t>
    </r>
  </si>
  <si>
    <r>
      <rPr>
        <sz val="9"/>
        <color theme="1"/>
        <rFont val="맑은 고딕"/>
        <family val="2"/>
      </rPr>
      <t>계획진척율</t>
    </r>
  </si>
  <si>
    <r>
      <rPr>
        <sz val="9"/>
        <color theme="1"/>
        <rFont val="맑은 고딕"/>
        <family val="2"/>
      </rPr>
      <t>계획</t>
    </r>
  </si>
  <si>
    <r>
      <rPr>
        <sz val="9"/>
        <color theme="1"/>
        <rFont val="맑은 고딕"/>
        <family val="2"/>
      </rPr>
      <t>파워포인트</t>
    </r>
  </si>
  <si>
    <r>
      <rPr>
        <sz val="9"/>
        <color theme="1"/>
        <rFont val="맑은 고딕"/>
        <family val="2"/>
      </rPr>
      <t>프로그램명</t>
    </r>
  </si>
  <si>
    <r>
      <rPr>
        <sz val="9"/>
        <color theme="1"/>
        <rFont val="맑은 고딕"/>
        <family val="2"/>
      </rPr>
      <t>진척율</t>
    </r>
  </si>
  <si>
    <r>
      <rPr>
        <sz val="9"/>
        <color theme="1"/>
        <rFont val="맑은 고딕"/>
        <family val="2"/>
      </rPr>
      <t>프로젝트수행계획서</t>
    </r>
  </si>
  <si>
    <r>
      <rPr>
        <sz val="9"/>
        <color theme="1"/>
        <rFont val="맑은 고딕"/>
        <family val="2"/>
      </rPr>
      <t>프로젝트명</t>
    </r>
  </si>
  <si>
    <r>
      <rPr>
        <sz val="9"/>
        <color theme="1"/>
        <rFont val="맑은 고딕"/>
        <family val="2"/>
      </rPr>
      <t>서식재설정</t>
    </r>
  </si>
  <si>
    <r>
      <t xml:space="preserve">Chart </t>
    </r>
    <r>
      <rPr>
        <sz val="9"/>
        <color theme="1"/>
        <rFont val="맑은 고딕"/>
        <family val="2"/>
      </rPr>
      <t>오른쪽</t>
    </r>
  </si>
  <si>
    <r>
      <rPr>
        <sz val="9"/>
        <color theme="1"/>
        <rFont val="맑은 고딕"/>
        <family val="2"/>
      </rPr>
      <t>토</t>
    </r>
  </si>
  <si>
    <r>
      <rPr>
        <sz val="9"/>
        <color theme="1"/>
        <rFont val="맑은 고딕"/>
        <family val="2"/>
      </rPr>
      <t>저장</t>
    </r>
  </si>
  <si>
    <r>
      <rPr>
        <sz val="9"/>
        <color theme="1"/>
        <rFont val="맑은 고딕"/>
        <family val="2"/>
      </rPr>
      <t>설정</t>
    </r>
  </si>
  <si>
    <r>
      <rPr>
        <sz val="9"/>
        <color theme="1"/>
        <rFont val="맑은 고딕"/>
        <family val="2"/>
      </rPr>
      <t>특정날짜</t>
    </r>
  </si>
  <si>
    <r>
      <rPr>
        <sz val="9"/>
        <color theme="1"/>
        <rFont val="맑은 고딕"/>
        <family val="2"/>
      </rPr>
      <t>표준캘린더</t>
    </r>
  </si>
  <si>
    <r>
      <rPr>
        <sz val="9"/>
        <color theme="1"/>
        <rFont val="맑은 고딕"/>
        <family val="2"/>
      </rPr>
      <t>시작일</t>
    </r>
  </si>
  <si>
    <r>
      <rPr>
        <sz val="9"/>
        <color theme="1"/>
        <rFont val="맑은 고딕"/>
        <family val="2"/>
      </rPr>
      <t>시작일자</t>
    </r>
  </si>
  <si>
    <r>
      <rPr>
        <sz val="9"/>
        <color theme="1"/>
        <rFont val="맑은 고딕"/>
        <family val="2"/>
      </rPr>
      <t>일</t>
    </r>
  </si>
  <si>
    <r>
      <rPr>
        <sz val="9"/>
        <color theme="1"/>
        <rFont val="맑은 고딕"/>
        <family val="2"/>
      </rPr>
      <t>작업명</t>
    </r>
  </si>
  <si>
    <r>
      <rPr>
        <sz val="9"/>
        <color theme="1"/>
        <rFont val="맑은 고딕"/>
        <family val="2"/>
      </rPr>
      <t>목</t>
    </r>
  </si>
  <si>
    <r>
      <rPr>
        <sz val="9"/>
        <color theme="1"/>
        <rFont val="맑은 고딕"/>
        <family val="2"/>
      </rPr>
      <t>오늘</t>
    </r>
  </si>
  <si>
    <r>
      <rPr>
        <sz val="9"/>
        <color theme="1"/>
        <rFont val="맑은 고딕"/>
        <family val="2"/>
      </rPr>
      <t>화</t>
    </r>
  </si>
  <si>
    <r>
      <rPr>
        <sz val="9"/>
        <color theme="1"/>
        <rFont val="맑은 고딕"/>
        <family val="2"/>
      </rPr>
      <t>화면설계</t>
    </r>
  </si>
  <si>
    <r>
      <rPr>
        <sz val="9"/>
        <color theme="1"/>
        <rFont val="맑은 고딕"/>
        <family val="2"/>
      </rPr>
      <t>스케줄업데이트</t>
    </r>
  </si>
  <si>
    <r>
      <rPr>
        <sz val="9"/>
        <color theme="1"/>
        <rFont val="맑은 고딕"/>
        <family val="2"/>
      </rPr>
      <t>수</t>
    </r>
  </si>
  <si>
    <r>
      <rPr>
        <sz val="9"/>
        <color theme="1"/>
        <rFont val="맑은 고딕"/>
        <family val="2"/>
      </rPr>
      <t>주별</t>
    </r>
  </si>
  <si>
    <r>
      <rPr>
        <sz val="9"/>
        <color theme="1"/>
        <rFont val="맑은 고딕"/>
        <family val="2"/>
      </rPr>
      <t>주별보기</t>
    </r>
  </si>
  <si>
    <r>
      <rPr>
        <sz val="9"/>
        <color theme="1"/>
        <rFont val="맑은 고딕"/>
        <family val="2"/>
      </rPr>
      <t>가중치</t>
    </r>
  </si>
  <si>
    <r>
      <rPr>
        <sz val="9"/>
        <color theme="1"/>
        <rFont val="맑은 고딕"/>
        <family val="2"/>
      </rPr>
      <t>워드</t>
    </r>
  </si>
  <si>
    <r>
      <t xml:space="preserve">* </t>
    </r>
    <r>
      <rPr>
        <sz val="9"/>
        <color theme="1"/>
        <rFont val="맑은 고딕"/>
        <family val="2"/>
      </rPr>
      <t>현재</t>
    </r>
    <r>
      <rPr>
        <sz val="9"/>
        <color theme="1"/>
        <rFont val="Calibri"/>
        <family val="2"/>
      </rPr>
      <t xml:space="preserve"> XLGantt</t>
    </r>
    <r>
      <rPr>
        <sz val="9"/>
        <color theme="1"/>
        <rFont val="맑은 고딕"/>
        <family val="2"/>
      </rPr>
      <t>는</t>
    </r>
    <r>
      <rPr>
        <sz val="9"/>
        <color theme="1"/>
        <rFont val="Calibri"/>
        <family val="2"/>
      </rPr>
      <t xml:space="preserve"> </t>
    </r>
    <r>
      <rPr>
        <sz val="9"/>
        <color theme="1"/>
        <rFont val="맑은 고딕"/>
        <family val="2"/>
      </rPr>
      <t>영어와</t>
    </r>
    <r>
      <rPr>
        <sz val="9"/>
        <color theme="1"/>
        <rFont val="Calibri"/>
        <family val="2"/>
      </rPr>
      <t xml:space="preserve"> </t>
    </r>
    <r>
      <rPr>
        <sz val="9"/>
        <color theme="1"/>
        <rFont val="맑은 고딕"/>
        <family val="2"/>
      </rPr>
      <t>한국어만</t>
    </r>
    <r>
      <rPr>
        <sz val="9"/>
        <color theme="1"/>
        <rFont val="Calibri"/>
        <family val="2"/>
      </rPr>
      <t xml:space="preserve"> </t>
    </r>
    <r>
      <rPr>
        <sz val="9"/>
        <color theme="1"/>
        <rFont val="맑은 고딕"/>
        <family val="2"/>
      </rPr>
      <t>지원합니다</t>
    </r>
    <r>
      <rPr>
        <sz val="9"/>
        <color theme="1"/>
        <rFont val="Calibri"/>
        <family val="2"/>
      </rPr>
      <t xml:space="preserve">. </t>
    </r>
    <r>
      <rPr>
        <sz val="9"/>
        <color theme="1"/>
        <rFont val="맑은 고딕"/>
        <family val="2"/>
      </rPr>
      <t>다른</t>
    </r>
    <r>
      <rPr>
        <sz val="9"/>
        <color theme="1"/>
        <rFont val="Calibri"/>
        <family val="2"/>
      </rPr>
      <t xml:space="preserve"> </t>
    </r>
    <r>
      <rPr>
        <sz val="9"/>
        <color theme="1"/>
        <rFont val="맑은 고딕"/>
        <family val="2"/>
      </rPr>
      <t>언어가</t>
    </r>
    <r>
      <rPr>
        <sz val="9"/>
        <color theme="1"/>
        <rFont val="Calibri"/>
        <family val="2"/>
      </rPr>
      <t xml:space="preserve"> </t>
    </r>
    <r>
      <rPr>
        <sz val="9"/>
        <color theme="1"/>
        <rFont val="맑은 고딕"/>
        <family val="2"/>
      </rPr>
      <t>필요하면</t>
    </r>
    <r>
      <rPr>
        <sz val="9"/>
        <color theme="1"/>
        <rFont val="Calibri"/>
        <family val="2"/>
      </rPr>
      <t xml:space="preserve">  </t>
    </r>
    <r>
      <rPr>
        <sz val="9"/>
        <color theme="1"/>
        <rFont val="맑은 고딕"/>
        <family val="2"/>
      </rPr>
      <t>아래</t>
    </r>
    <r>
      <rPr>
        <sz val="9"/>
        <color theme="1"/>
        <rFont val="Calibri"/>
        <family val="2"/>
      </rPr>
      <t xml:space="preserve"> "</t>
    </r>
    <r>
      <rPr>
        <sz val="9"/>
        <color theme="1"/>
        <rFont val="맑은 고딕"/>
        <family val="2"/>
      </rPr>
      <t>언어추가</t>
    </r>
    <r>
      <rPr>
        <sz val="9"/>
        <color theme="1"/>
        <rFont val="Calibri"/>
        <family val="2"/>
      </rPr>
      <t>"</t>
    </r>
    <r>
      <rPr>
        <sz val="9"/>
        <color theme="1"/>
        <rFont val="맑은 고딕"/>
        <family val="2"/>
      </rPr>
      <t>에서</t>
    </r>
    <r>
      <rPr>
        <sz val="9"/>
        <color theme="1"/>
        <rFont val="Calibri"/>
        <family val="2"/>
      </rPr>
      <t xml:space="preserve"> </t>
    </r>
    <r>
      <rPr>
        <sz val="9"/>
        <color theme="1"/>
        <rFont val="맑은 고딕"/>
        <family val="2"/>
      </rPr>
      <t>다른</t>
    </r>
    <r>
      <rPr>
        <sz val="9"/>
        <color theme="1"/>
        <rFont val="Calibri"/>
        <family val="2"/>
      </rPr>
      <t xml:space="preserve"> </t>
    </r>
    <r>
      <rPr>
        <sz val="9"/>
        <color theme="1"/>
        <rFont val="맑은 고딕"/>
        <family val="2"/>
      </rPr>
      <t>언어를</t>
    </r>
    <r>
      <rPr>
        <sz val="9"/>
        <color theme="1"/>
        <rFont val="Calibri"/>
        <family val="2"/>
      </rPr>
      <t xml:space="preserve"> </t>
    </r>
    <r>
      <rPr>
        <sz val="9"/>
        <color theme="1"/>
        <rFont val="맑은 고딕"/>
        <family val="2"/>
      </rPr>
      <t>추가하고</t>
    </r>
    <r>
      <rPr>
        <sz val="9"/>
        <color theme="1"/>
        <rFont val="Calibri"/>
        <family val="2"/>
      </rPr>
      <t xml:space="preserve"> TranslatedLanguages sheet</t>
    </r>
    <r>
      <rPr>
        <sz val="9"/>
        <color theme="1"/>
        <rFont val="맑은 고딕"/>
        <family val="2"/>
      </rPr>
      <t>에</t>
    </r>
    <r>
      <rPr>
        <sz val="9"/>
        <color theme="1"/>
        <rFont val="Calibri"/>
        <family val="2"/>
      </rPr>
      <t xml:space="preserve"> </t>
    </r>
    <r>
      <rPr>
        <sz val="9"/>
        <color theme="1"/>
        <rFont val="맑은 고딕"/>
        <family val="2"/>
      </rPr>
      <t>각</t>
    </r>
    <r>
      <rPr>
        <sz val="9"/>
        <color theme="1"/>
        <rFont val="Calibri"/>
        <family val="2"/>
      </rPr>
      <t xml:space="preserve"> </t>
    </r>
    <r>
      <rPr>
        <sz val="9"/>
        <color theme="1"/>
        <rFont val="맑은 고딕"/>
        <family val="2"/>
      </rPr>
      <t>언어별로</t>
    </r>
    <r>
      <rPr>
        <sz val="9"/>
        <color theme="1"/>
        <rFont val="Calibri"/>
        <family val="2"/>
      </rPr>
      <t xml:space="preserve"> </t>
    </r>
    <r>
      <rPr>
        <sz val="9"/>
        <color theme="1"/>
        <rFont val="맑은 고딕"/>
        <family val="2"/>
      </rPr>
      <t>번역을</t>
    </r>
    <r>
      <rPr>
        <sz val="9"/>
        <color theme="1"/>
        <rFont val="Calibri"/>
        <family val="2"/>
      </rPr>
      <t xml:space="preserve"> </t>
    </r>
    <r>
      <rPr>
        <sz val="9"/>
        <color theme="1"/>
        <rFont val="맑은 고딕"/>
        <family val="2"/>
      </rPr>
      <t>추가해야</t>
    </r>
    <r>
      <rPr>
        <sz val="9"/>
        <color theme="1"/>
        <rFont val="Calibri"/>
        <family val="2"/>
      </rPr>
      <t xml:space="preserve"> </t>
    </r>
    <r>
      <rPr>
        <sz val="9"/>
        <color theme="1"/>
        <rFont val="맑은 고딕"/>
        <family val="2"/>
      </rPr>
      <t>합니다</t>
    </r>
    <r>
      <rPr>
        <sz val="9"/>
        <color theme="1"/>
        <rFont val="Calibri"/>
        <family val="2"/>
      </rPr>
      <t xml:space="preserve">. </t>
    </r>
    <r>
      <rPr>
        <sz val="9"/>
        <color theme="1"/>
        <rFont val="맑은 고딕"/>
        <family val="2"/>
      </rPr>
      <t>번역을</t>
    </r>
    <r>
      <rPr>
        <sz val="9"/>
        <color theme="1"/>
        <rFont val="Calibri"/>
        <family val="2"/>
      </rPr>
      <t xml:space="preserve"> </t>
    </r>
    <r>
      <rPr>
        <sz val="9"/>
        <color theme="1"/>
        <rFont val="맑은 고딕"/>
        <family val="2"/>
      </rPr>
      <t>추가하지</t>
    </r>
    <r>
      <rPr>
        <sz val="9"/>
        <color theme="1"/>
        <rFont val="Calibri"/>
        <family val="2"/>
      </rPr>
      <t xml:space="preserve"> </t>
    </r>
    <r>
      <rPr>
        <sz val="9"/>
        <color theme="1"/>
        <rFont val="맑은 고딕"/>
        <family val="2"/>
      </rPr>
      <t>않으면</t>
    </r>
    <r>
      <rPr>
        <sz val="9"/>
        <color theme="1"/>
        <rFont val="Calibri"/>
        <family val="2"/>
      </rPr>
      <t xml:space="preserve"> </t>
    </r>
    <r>
      <rPr>
        <sz val="9"/>
        <color theme="1"/>
        <rFont val="맑은 고딕"/>
        <family val="2"/>
      </rPr>
      <t>기본언어인</t>
    </r>
    <r>
      <rPr>
        <sz val="9"/>
        <color theme="1"/>
        <rFont val="Calibri"/>
        <family val="2"/>
      </rPr>
      <t xml:space="preserve"> </t>
    </r>
    <r>
      <rPr>
        <sz val="9"/>
        <color theme="1"/>
        <rFont val="맑은 고딕"/>
        <family val="2"/>
      </rPr>
      <t>영어로</t>
    </r>
    <r>
      <rPr>
        <sz val="9"/>
        <color theme="1"/>
        <rFont val="Calibri"/>
        <family val="2"/>
      </rPr>
      <t xml:space="preserve"> </t>
    </r>
    <r>
      <rPr>
        <sz val="9"/>
        <color theme="1"/>
        <rFont val="맑은 고딕"/>
        <family val="2"/>
      </rPr>
      <t>표시됩니다</t>
    </r>
    <r>
      <rPr>
        <sz val="9"/>
        <color theme="1"/>
        <rFont val="Calibri"/>
        <family val="2"/>
      </rPr>
      <t>(TranslatedLanguages sheet</t>
    </r>
    <r>
      <rPr>
        <sz val="9"/>
        <color theme="1"/>
        <rFont val="맑은 고딕"/>
        <family val="2"/>
      </rPr>
      <t>는</t>
    </r>
    <r>
      <rPr>
        <sz val="9"/>
        <color theme="1"/>
        <rFont val="Calibri"/>
        <family val="2"/>
      </rPr>
      <t xml:space="preserve"> </t>
    </r>
    <r>
      <rPr>
        <sz val="9"/>
        <color theme="1"/>
        <rFont val="맑은 고딕"/>
        <family val="2"/>
      </rPr>
      <t>숨겨져</t>
    </r>
    <r>
      <rPr>
        <sz val="9"/>
        <color theme="1"/>
        <rFont val="Calibri"/>
        <family val="2"/>
      </rPr>
      <t xml:space="preserve"> </t>
    </r>
    <r>
      <rPr>
        <sz val="9"/>
        <color theme="1"/>
        <rFont val="맑은 고딕"/>
        <family val="2"/>
      </rPr>
      <t>있음</t>
    </r>
    <r>
      <rPr>
        <sz val="9"/>
        <color theme="1"/>
        <rFont val="Calibri"/>
        <family val="2"/>
      </rPr>
      <t>,Sheet</t>
    </r>
    <r>
      <rPr>
        <sz val="9"/>
        <color theme="1"/>
        <rFont val="맑은 고딕"/>
        <family val="2"/>
      </rPr>
      <t>메뉴에서</t>
    </r>
    <r>
      <rPr>
        <sz val="9"/>
        <color theme="1"/>
        <rFont val="Calibri"/>
        <family val="2"/>
      </rPr>
      <t xml:space="preserve"> </t>
    </r>
    <r>
      <rPr>
        <sz val="9"/>
        <color theme="1"/>
        <rFont val="맑은 고딕"/>
        <family val="2"/>
      </rPr>
      <t>숨기기</t>
    </r>
    <r>
      <rPr>
        <sz val="9"/>
        <color theme="1"/>
        <rFont val="Calibri"/>
        <family val="2"/>
      </rPr>
      <t xml:space="preserve"> </t>
    </r>
    <r>
      <rPr>
        <sz val="9"/>
        <color theme="1"/>
        <rFont val="맑은 고딕"/>
        <family val="2"/>
      </rPr>
      <t>취소하면</t>
    </r>
    <r>
      <rPr>
        <sz val="9"/>
        <color theme="1"/>
        <rFont val="Calibri"/>
        <family val="2"/>
      </rPr>
      <t xml:space="preserve"> </t>
    </r>
    <r>
      <rPr>
        <sz val="9"/>
        <color theme="1"/>
        <rFont val="맑은 고딕"/>
        <family val="2"/>
      </rPr>
      <t>볼</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있음</t>
    </r>
    <r>
      <rPr>
        <sz val="9"/>
        <color theme="1"/>
        <rFont val="Calibri"/>
        <family val="2"/>
      </rPr>
      <t>)</t>
    </r>
  </si>
  <si>
    <r>
      <rPr>
        <sz val="9"/>
        <color theme="1"/>
        <rFont val="맑은 고딕"/>
        <family val="2"/>
      </rPr>
      <t>가장</t>
    </r>
    <r>
      <rPr>
        <sz val="9"/>
        <color theme="1"/>
        <rFont val="Calibri"/>
        <family val="2"/>
      </rPr>
      <t xml:space="preserve"> </t>
    </r>
    <r>
      <rPr>
        <sz val="9"/>
        <color theme="1"/>
        <rFont val="맑은 고딕"/>
        <family val="2"/>
      </rPr>
      <t>빠른</t>
    </r>
    <r>
      <rPr>
        <sz val="9"/>
        <color theme="1"/>
        <rFont val="Calibri"/>
        <family val="2"/>
      </rPr>
      <t xml:space="preserve"> </t>
    </r>
    <r>
      <rPr>
        <sz val="9"/>
        <color theme="1"/>
        <rFont val="맑은 고딕"/>
        <family val="2"/>
      </rPr>
      <t>작업의</t>
    </r>
    <r>
      <rPr>
        <sz val="9"/>
        <color theme="1"/>
        <rFont val="Calibri"/>
        <family val="2"/>
      </rPr>
      <t xml:space="preserve"> </t>
    </r>
    <r>
      <rPr>
        <sz val="9"/>
        <color theme="1"/>
        <rFont val="맑은 고딕"/>
        <family val="2"/>
      </rPr>
      <t>시작일</t>
    </r>
    <r>
      <rPr>
        <sz val="9"/>
        <color theme="1"/>
        <rFont val="Calibri"/>
        <family val="2"/>
      </rPr>
      <t>({1})</t>
    </r>
    <r>
      <rPr>
        <sz val="9"/>
        <color theme="1"/>
        <rFont val="맑은 고딕"/>
        <family val="2"/>
      </rPr>
      <t>이</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시작일</t>
    </r>
    <r>
      <rPr>
        <sz val="9"/>
        <color theme="1"/>
        <rFont val="Calibri"/>
        <family val="2"/>
      </rPr>
      <t>({2})</t>
    </r>
    <r>
      <rPr>
        <sz val="9"/>
        <color theme="1"/>
        <rFont val="맑은 고딕"/>
        <family val="2"/>
      </rPr>
      <t>보다</t>
    </r>
    <r>
      <rPr>
        <sz val="9"/>
        <color theme="1"/>
        <rFont val="Calibri"/>
        <family val="2"/>
      </rPr>
      <t xml:space="preserve"> </t>
    </r>
    <r>
      <rPr>
        <sz val="9"/>
        <color theme="1"/>
        <rFont val="맑은 고딕"/>
        <family val="2"/>
      </rPr>
      <t>더</t>
    </r>
    <r>
      <rPr>
        <sz val="9"/>
        <color theme="1"/>
        <rFont val="Calibri"/>
        <family val="2"/>
      </rPr>
      <t xml:space="preserve"> </t>
    </r>
    <r>
      <rPr>
        <sz val="9"/>
        <color theme="1"/>
        <rFont val="맑은 고딕"/>
        <family val="2"/>
      </rPr>
      <t>빠릅니다</t>
    </r>
    <r>
      <rPr>
        <sz val="9"/>
        <color theme="1"/>
        <rFont val="Calibri"/>
        <family val="2"/>
      </rPr>
      <t>.\n\n</t>
    </r>
    <r>
      <rPr>
        <sz val="9"/>
        <color theme="1"/>
        <rFont val="맑은 고딕"/>
        <family val="2"/>
      </rPr>
      <t>가장</t>
    </r>
    <r>
      <rPr>
        <sz val="9"/>
        <color theme="1"/>
        <rFont val="Calibri"/>
        <family val="2"/>
      </rPr>
      <t xml:space="preserve"> </t>
    </r>
    <r>
      <rPr>
        <sz val="9"/>
        <color theme="1"/>
        <rFont val="맑은 고딕"/>
        <family val="2"/>
      </rPr>
      <t>늦은</t>
    </r>
    <r>
      <rPr>
        <sz val="9"/>
        <color theme="1"/>
        <rFont val="Calibri"/>
        <family val="2"/>
      </rPr>
      <t xml:space="preserve"> </t>
    </r>
    <r>
      <rPr>
        <sz val="9"/>
        <color theme="1"/>
        <rFont val="맑은 고딕"/>
        <family val="2"/>
      </rPr>
      <t>완료일</t>
    </r>
    <r>
      <rPr>
        <sz val="9"/>
        <color theme="1"/>
        <rFont val="Calibri"/>
        <family val="2"/>
      </rPr>
      <t>({3})</t>
    </r>
    <r>
      <rPr>
        <sz val="9"/>
        <color theme="1"/>
        <rFont val="맑은 고딕"/>
        <family val="2"/>
      </rPr>
      <t>이</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기간정보의</t>
    </r>
    <r>
      <rPr>
        <sz val="9"/>
        <color theme="1"/>
        <rFont val="Calibri"/>
        <family val="2"/>
      </rPr>
      <t xml:space="preserve"> </t>
    </r>
    <r>
      <rPr>
        <sz val="9"/>
        <color theme="1"/>
        <rFont val="맑은 고딕"/>
        <family val="2"/>
      </rPr>
      <t>완료일</t>
    </r>
    <r>
      <rPr>
        <sz val="9"/>
        <color theme="1"/>
        <rFont val="Calibri"/>
        <family val="2"/>
      </rPr>
      <t>({4})</t>
    </r>
    <r>
      <rPr>
        <sz val="9"/>
        <color theme="1"/>
        <rFont val="맑은 고딕"/>
        <family val="2"/>
      </rPr>
      <t>보다</t>
    </r>
    <r>
      <rPr>
        <sz val="9"/>
        <color theme="1"/>
        <rFont val="Calibri"/>
        <family val="2"/>
      </rPr>
      <t xml:space="preserve"> </t>
    </r>
    <r>
      <rPr>
        <sz val="9"/>
        <color theme="1"/>
        <rFont val="맑은 고딕"/>
        <family val="2"/>
      </rPr>
      <t>더</t>
    </r>
    <r>
      <rPr>
        <sz val="9"/>
        <color theme="1"/>
        <rFont val="Calibri"/>
        <family val="2"/>
      </rPr>
      <t xml:space="preserve"> </t>
    </r>
    <r>
      <rPr>
        <sz val="9"/>
        <color theme="1"/>
        <rFont val="맑은 고딕"/>
        <family val="2"/>
      </rPr>
      <t>늦습니다</t>
    </r>
    <r>
      <rPr>
        <sz val="9"/>
        <color theme="1"/>
        <rFont val="Calibri"/>
        <family val="2"/>
      </rPr>
      <t>.\n\n</t>
    </r>
    <r>
      <rPr>
        <sz val="9"/>
        <color theme="1"/>
        <rFont val="맑은 고딕"/>
        <family val="2"/>
      </rPr>
      <t>이</t>
    </r>
    <r>
      <rPr>
        <sz val="9"/>
        <color theme="1"/>
        <rFont val="Calibri"/>
        <family val="2"/>
      </rPr>
      <t xml:space="preserve"> </t>
    </r>
    <r>
      <rPr>
        <sz val="9"/>
        <color theme="1"/>
        <rFont val="맑은 고딕"/>
        <family val="2"/>
      </rPr>
      <t>경우</t>
    </r>
    <r>
      <rPr>
        <sz val="9"/>
        <color theme="1"/>
        <rFont val="Calibri"/>
        <family val="2"/>
      </rPr>
      <t xml:space="preserve"> </t>
    </r>
    <r>
      <rPr>
        <sz val="9"/>
        <color theme="1"/>
        <rFont val="맑은 고딕"/>
        <family val="2"/>
      </rPr>
      <t>리소스</t>
    </r>
    <r>
      <rPr>
        <sz val="9"/>
        <color theme="1"/>
        <rFont val="Calibri"/>
        <family val="2"/>
      </rPr>
      <t xml:space="preserve"> </t>
    </r>
    <r>
      <rPr>
        <sz val="9"/>
        <color theme="1"/>
        <rFont val="맑은 고딕"/>
        <family val="2"/>
      </rPr>
      <t>계산등에</t>
    </r>
    <r>
      <rPr>
        <sz val="9"/>
        <color theme="1"/>
        <rFont val="Calibri"/>
        <family val="2"/>
      </rPr>
      <t xml:space="preserve"> </t>
    </r>
    <r>
      <rPr>
        <sz val="9"/>
        <color theme="1"/>
        <rFont val="맑은 고딕"/>
        <family val="2"/>
      </rPr>
      <t>문제가</t>
    </r>
    <r>
      <rPr>
        <sz val="9"/>
        <color theme="1"/>
        <rFont val="Calibri"/>
        <family val="2"/>
      </rPr>
      <t xml:space="preserve"> </t>
    </r>
    <r>
      <rPr>
        <sz val="9"/>
        <color theme="1"/>
        <rFont val="맑은 고딕"/>
        <family val="2"/>
      </rPr>
      <t>있을</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 xml:space="preserve">. </t>
    </r>
    <r>
      <rPr>
        <sz val="9"/>
        <color theme="1"/>
        <rFont val="맑은 고딕"/>
        <family val="2"/>
      </rPr>
      <t>시작일</t>
    </r>
    <r>
      <rPr>
        <sz val="9"/>
        <color theme="1"/>
        <rFont val="Calibri"/>
        <family val="2"/>
      </rPr>
      <t>,</t>
    </r>
    <r>
      <rPr>
        <sz val="9"/>
        <color theme="1"/>
        <rFont val="맑은 고딕"/>
        <family val="2"/>
      </rPr>
      <t>완료일을</t>
    </r>
    <r>
      <rPr>
        <sz val="9"/>
        <color theme="1"/>
        <rFont val="Calibri"/>
        <family val="2"/>
      </rPr>
      <t xml:space="preserve"> </t>
    </r>
    <r>
      <rPr>
        <sz val="9"/>
        <color theme="1"/>
        <rFont val="맑은 고딕"/>
        <family val="2"/>
      </rPr>
      <t>환경설정메뉴의</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기간내로</t>
    </r>
    <r>
      <rPr>
        <sz val="9"/>
        <color theme="1"/>
        <rFont val="Calibri"/>
        <family val="2"/>
      </rPr>
      <t xml:space="preserve"> </t>
    </r>
    <r>
      <rPr>
        <sz val="9"/>
        <color theme="1"/>
        <rFont val="맑은 고딕"/>
        <family val="2"/>
      </rPr>
      <t>조정하거나</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기간을</t>
    </r>
    <r>
      <rPr>
        <sz val="9"/>
        <color theme="1"/>
        <rFont val="Calibri"/>
        <family val="2"/>
      </rPr>
      <t xml:space="preserve"> </t>
    </r>
    <r>
      <rPr>
        <sz val="9"/>
        <color theme="1"/>
        <rFont val="맑은 고딕"/>
        <family val="2"/>
      </rPr>
      <t>조정하시기</t>
    </r>
    <r>
      <rPr>
        <sz val="9"/>
        <color theme="1"/>
        <rFont val="Calibri"/>
        <family val="2"/>
      </rPr>
      <t xml:space="preserve"> </t>
    </r>
    <r>
      <rPr>
        <sz val="9"/>
        <color theme="1"/>
        <rFont val="맑은 고딕"/>
        <family val="2"/>
      </rPr>
      <t>바랍니다</t>
    </r>
    <r>
      <rPr>
        <sz val="9"/>
        <color theme="1"/>
        <rFont val="Calibri"/>
        <family val="2"/>
      </rPr>
      <t>.</t>
    </r>
  </si>
  <si>
    <r>
      <rPr>
        <sz val="9"/>
        <color theme="1"/>
        <rFont val="맑은 고딕"/>
        <family val="2"/>
      </rPr>
      <t>작업</t>
    </r>
    <r>
      <rPr>
        <sz val="9"/>
        <color theme="1"/>
        <rFont val="Calibri"/>
        <family val="2"/>
      </rPr>
      <t xml:space="preserve"> </t>
    </r>
    <r>
      <rPr>
        <sz val="9"/>
        <color theme="1"/>
        <rFont val="맑은 고딕"/>
        <family val="2"/>
      </rPr>
      <t>중</t>
    </r>
    <r>
      <rPr>
        <sz val="9"/>
        <color theme="1"/>
        <rFont val="Calibri"/>
        <family val="2"/>
      </rPr>
      <t xml:space="preserve"> </t>
    </r>
    <r>
      <rPr>
        <sz val="9"/>
        <color theme="1"/>
        <rFont val="맑은 고딕"/>
        <family val="2"/>
      </rPr>
      <t>에러가</t>
    </r>
    <r>
      <rPr>
        <sz val="9"/>
        <color theme="1"/>
        <rFont val="Calibri"/>
        <family val="2"/>
      </rPr>
      <t xml:space="preserve"> </t>
    </r>
    <r>
      <rPr>
        <sz val="9"/>
        <color theme="1"/>
        <rFont val="맑은 고딕"/>
        <family val="2"/>
      </rPr>
      <t>발생했습니다</t>
    </r>
    <r>
      <rPr>
        <sz val="9"/>
        <color theme="1"/>
        <rFont val="Calibri"/>
        <family val="2"/>
      </rPr>
      <t xml:space="preserve">. </t>
    </r>
    <r>
      <rPr>
        <sz val="9"/>
        <color theme="1"/>
        <rFont val="맑은 고딕"/>
        <family val="2"/>
      </rPr>
      <t>원인은</t>
    </r>
    <r>
      <rPr>
        <sz val="9"/>
        <color theme="1"/>
        <rFont val="Calibri"/>
        <family val="2"/>
      </rPr>
      <t xml:space="preserve"> </t>
    </r>
    <r>
      <rPr>
        <sz val="9"/>
        <color theme="1"/>
        <rFont val="맑은 고딕"/>
        <family val="2"/>
      </rPr>
      <t>다음</t>
    </r>
    <r>
      <rPr>
        <sz val="9"/>
        <color theme="1"/>
        <rFont val="Calibri"/>
        <family val="2"/>
      </rPr>
      <t xml:space="preserve"> </t>
    </r>
    <r>
      <rPr>
        <sz val="9"/>
        <color theme="1"/>
        <rFont val="맑은 고딕"/>
        <family val="2"/>
      </rPr>
      <t>중</t>
    </r>
    <r>
      <rPr>
        <sz val="9"/>
        <color theme="1"/>
        <rFont val="Calibri"/>
        <family val="2"/>
      </rPr>
      <t xml:space="preserve"> </t>
    </r>
    <r>
      <rPr>
        <sz val="9"/>
        <color theme="1"/>
        <rFont val="맑은 고딕"/>
        <family val="2"/>
      </rPr>
      <t>하나일</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 xml:space="preserve">.\n - </t>
    </r>
    <r>
      <rPr>
        <sz val="9"/>
        <color theme="1"/>
        <rFont val="맑은 고딕"/>
        <family val="2"/>
      </rPr>
      <t>파일이</t>
    </r>
    <r>
      <rPr>
        <sz val="9"/>
        <color theme="1"/>
        <rFont val="Calibri"/>
        <family val="2"/>
      </rPr>
      <t xml:space="preserve"> </t>
    </r>
    <r>
      <rPr>
        <sz val="9"/>
        <color theme="1"/>
        <rFont val="맑은 고딕"/>
        <family val="2"/>
      </rPr>
      <t>비정상적인</t>
    </r>
    <r>
      <rPr>
        <sz val="9"/>
        <color theme="1"/>
        <rFont val="Calibri"/>
        <family val="2"/>
      </rPr>
      <t xml:space="preserve"> </t>
    </r>
    <r>
      <rPr>
        <sz val="9"/>
        <color theme="1"/>
        <rFont val="맑은 고딕"/>
        <family val="2"/>
      </rPr>
      <t>경우</t>
    </r>
    <r>
      <rPr>
        <sz val="9"/>
        <color theme="1"/>
        <rFont val="Calibri"/>
        <family val="2"/>
      </rPr>
      <t>(</t>
    </r>
    <r>
      <rPr>
        <sz val="9"/>
        <color theme="1"/>
        <rFont val="맑은 고딕"/>
        <family val="2"/>
      </rPr>
      <t>엑셀파일이</t>
    </r>
    <r>
      <rPr>
        <sz val="9"/>
        <color theme="1"/>
        <rFont val="Calibri"/>
        <family val="2"/>
      </rPr>
      <t xml:space="preserve"> </t>
    </r>
    <r>
      <rPr>
        <sz val="9"/>
        <color theme="1"/>
        <rFont val="맑은 고딕"/>
        <family val="2"/>
      </rPr>
      <t>손상된</t>
    </r>
    <r>
      <rPr>
        <sz val="9"/>
        <color theme="1"/>
        <rFont val="Calibri"/>
        <family val="2"/>
      </rPr>
      <t xml:space="preserve"> </t>
    </r>
    <r>
      <rPr>
        <sz val="9"/>
        <color theme="1"/>
        <rFont val="맑은 고딕"/>
        <family val="2"/>
      </rPr>
      <t>경우</t>
    </r>
    <r>
      <rPr>
        <sz val="9"/>
        <color theme="1"/>
        <rFont val="Calibri"/>
        <family val="2"/>
      </rPr>
      <t xml:space="preserve"> </t>
    </r>
    <r>
      <rPr>
        <sz val="9"/>
        <color theme="1"/>
        <rFont val="맑은 고딕"/>
        <family val="2"/>
      </rPr>
      <t>등</t>
    </r>
    <r>
      <rPr>
        <sz val="9"/>
        <color theme="1"/>
        <rFont val="Calibri"/>
        <family val="2"/>
      </rPr>
      <t xml:space="preserve">)\n - </t>
    </r>
    <r>
      <rPr>
        <sz val="9"/>
        <color theme="1"/>
        <rFont val="맑은 고딕"/>
        <family val="2"/>
      </rPr>
      <t>자료</t>
    </r>
    <r>
      <rPr>
        <sz val="9"/>
        <color theme="1"/>
        <rFont val="Calibri"/>
        <family val="2"/>
      </rPr>
      <t xml:space="preserve"> </t>
    </r>
    <r>
      <rPr>
        <sz val="9"/>
        <color theme="1"/>
        <rFont val="맑은 고딕"/>
        <family val="2"/>
      </rPr>
      <t>포맷이</t>
    </r>
    <r>
      <rPr>
        <sz val="9"/>
        <color theme="1"/>
        <rFont val="Calibri"/>
        <family val="2"/>
      </rPr>
      <t xml:space="preserve"> </t>
    </r>
    <r>
      <rPr>
        <sz val="9"/>
        <color theme="1"/>
        <rFont val="맑은 고딕"/>
        <family val="2"/>
      </rPr>
      <t>틀린</t>
    </r>
    <r>
      <rPr>
        <sz val="9"/>
        <color theme="1"/>
        <rFont val="Calibri"/>
        <family val="2"/>
      </rPr>
      <t xml:space="preserve"> </t>
    </r>
    <r>
      <rPr>
        <sz val="9"/>
        <color theme="1"/>
        <rFont val="맑은 고딕"/>
        <family val="2"/>
      </rPr>
      <t>경우</t>
    </r>
    <r>
      <rPr>
        <sz val="9"/>
        <color theme="1"/>
        <rFont val="Calibri"/>
        <family val="2"/>
      </rPr>
      <t>(1</t>
    </r>
    <r>
      <rPr>
        <sz val="9"/>
        <color theme="1"/>
        <rFont val="맑은 고딕"/>
        <family val="2"/>
      </rPr>
      <t>행에</t>
    </r>
    <r>
      <rPr>
        <sz val="9"/>
        <color theme="1"/>
        <rFont val="Calibri"/>
        <family val="2"/>
      </rPr>
      <t xml:space="preserve"> </t>
    </r>
    <r>
      <rPr>
        <sz val="9"/>
        <color theme="1"/>
        <rFont val="맑은 고딕"/>
        <family val="2"/>
      </rPr>
      <t>제목</t>
    </r>
    <r>
      <rPr>
        <sz val="9"/>
        <color theme="1"/>
        <rFont val="Calibri"/>
        <family val="2"/>
      </rPr>
      <t>, 2</t>
    </r>
    <r>
      <rPr>
        <sz val="9"/>
        <color theme="1"/>
        <rFont val="맑은 고딕"/>
        <family val="2"/>
      </rPr>
      <t>행부터</t>
    </r>
    <r>
      <rPr>
        <sz val="9"/>
        <color theme="1"/>
        <rFont val="Calibri"/>
        <family val="2"/>
      </rPr>
      <t xml:space="preserve"> </t>
    </r>
    <r>
      <rPr>
        <sz val="9"/>
        <color theme="1"/>
        <rFont val="맑은 고딕"/>
        <family val="2"/>
      </rPr>
      <t>내용이</t>
    </r>
    <r>
      <rPr>
        <sz val="9"/>
        <color theme="1"/>
        <rFont val="Calibri"/>
        <family val="2"/>
      </rPr>
      <t xml:space="preserve"> </t>
    </r>
    <r>
      <rPr>
        <sz val="9"/>
        <color theme="1"/>
        <rFont val="맑은 고딕"/>
        <family val="2"/>
      </rPr>
      <t>들어가</t>
    </r>
    <r>
      <rPr>
        <sz val="9"/>
        <color theme="1"/>
        <rFont val="Calibri"/>
        <family val="2"/>
      </rPr>
      <t xml:space="preserve"> </t>
    </r>
    <r>
      <rPr>
        <sz val="9"/>
        <color theme="1"/>
        <rFont val="맑은 고딕"/>
        <family val="2"/>
      </rPr>
      <t>있는</t>
    </r>
    <r>
      <rPr>
        <sz val="9"/>
        <color theme="1"/>
        <rFont val="Calibri"/>
        <family val="2"/>
      </rPr>
      <t xml:space="preserve"> </t>
    </r>
    <r>
      <rPr>
        <sz val="9"/>
        <color theme="1"/>
        <rFont val="맑은 고딕"/>
        <family val="2"/>
      </rPr>
      <t>포맷</t>
    </r>
    <r>
      <rPr>
        <sz val="9"/>
        <color theme="1"/>
        <rFont val="Calibri"/>
        <family val="2"/>
      </rPr>
      <t xml:space="preserve"> </t>
    </r>
    <r>
      <rPr>
        <sz val="9"/>
        <color theme="1"/>
        <rFont val="맑은 고딕"/>
        <family val="2"/>
      </rPr>
      <t>또는</t>
    </r>
    <r>
      <rPr>
        <sz val="9"/>
        <color theme="1"/>
        <rFont val="Calibri"/>
        <family val="2"/>
      </rPr>
      <t xml:space="preserve"> XLGantt </t>
    </r>
    <r>
      <rPr>
        <sz val="9"/>
        <color theme="1"/>
        <rFont val="맑은 고딕"/>
        <family val="2"/>
      </rPr>
      <t>파일만</t>
    </r>
    <r>
      <rPr>
        <sz val="9"/>
        <color theme="1"/>
        <rFont val="Calibri"/>
        <family val="2"/>
      </rPr>
      <t xml:space="preserve"> </t>
    </r>
    <r>
      <rPr>
        <sz val="9"/>
        <color theme="1"/>
        <rFont val="맑은 고딕"/>
        <family val="2"/>
      </rPr>
      <t>허용</t>
    </r>
    <r>
      <rPr>
        <sz val="9"/>
        <color theme="1"/>
        <rFont val="Calibri"/>
        <family val="2"/>
      </rPr>
      <t xml:space="preserve">)\n - </t>
    </r>
    <r>
      <rPr>
        <sz val="9"/>
        <color theme="1"/>
        <rFont val="맑은 고딕"/>
        <family val="2"/>
      </rPr>
      <t>이미</t>
    </r>
    <r>
      <rPr>
        <sz val="9"/>
        <color theme="1"/>
        <rFont val="Calibri"/>
        <family val="2"/>
      </rPr>
      <t xml:space="preserve"> </t>
    </r>
    <r>
      <rPr>
        <sz val="9"/>
        <color theme="1"/>
        <rFont val="맑은 고딕"/>
        <family val="2"/>
      </rPr>
      <t>열려있는</t>
    </r>
    <r>
      <rPr>
        <sz val="9"/>
        <color theme="1"/>
        <rFont val="Calibri"/>
        <family val="2"/>
      </rPr>
      <t xml:space="preserve"> </t>
    </r>
    <r>
      <rPr>
        <sz val="9"/>
        <color theme="1"/>
        <rFont val="맑은 고딕"/>
        <family val="2"/>
      </rPr>
      <t>파일을</t>
    </r>
    <r>
      <rPr>
        <sz val="9"/>
        <color theme="1"/>
        <rFont val="Calibri"/>
        <family val="2"/>
      </rPr>
      <t xml:space="preserve"> </t>
    </r>
    <r>
      <rPr>
        <sz val="9"/>
        <color theme="1"/>
        <rFont val="맑은 고딕"/>
        <family val="2"/>
      </rPr>
      <t>또</t>
    </r>
    <r>
      <rPr>
        <sz val="9"/>
        <color theme="1"/>
        <rFont val="Calibri"/>
        <family val="2"/>
      </rPr>
      <t xml:space="preserve"> </t>
    </r>
    <r>
      <rPr>
        <sz val="9"/>
        <color theme="1"/>
        <rFont val="맑은 고딕"/>
        <family val="2"/>
      </rPr>
      <t>열다가</t>
    </r>
    <r>
      <rPr>
        <sz val="9"/>
        <color theme="1"/>
        <rFont val="Calibri"/>
        <family val="2"/>
      </rPr>
      <t xml:space="preserve"> </t>
    </r>
    <r>
      <rPr>
        <sz val="9"/>
        <color theme="1"/>
        <rFont val="맑은 고딕"/>
        <family val="2"/>
      </rPr>
      <t>취소하는</t>
    </r>
    <r>
      <rPr>
        <sz val="9"/>
        <color theme="1"/>
        <rFont val="Calibri"/>
        <family val="2"/>
      </rPr>
      <t xml:space="preserve"> </t>
    </r>
    <r>
      <rPr>
        <sz val="9"/>
        <color theme="1"/>
        <rFont val="맑은 고딕"/>
        <family val="2"/>
      </rPr>
      <t>경우</t>
    </r>
    <r>
      <rPr>
        <sz val="9"/>
        <color theme="1"/>
        <rFont val="Calibri"/>
        <family val="2"/>
      </rPr>
      <t xml:space="preserve">\n\n </t>
    </r>
    <r>
      <rPr>
        <sz val="9"/>
        <color theme="1"/>
        <rFont val="맑은 고딕"/>
        <family val="2"/>
      </rPr>
      <t>자세한</t>
    </r>
    <r>
      <rPr>
        <sz val="9"/>
        <color theme="1"/>
        <rFont val="Calibri"/>
        <family val="2"/>
      </rPr>
      <t xml:space="preserve"> </t>
    </r>
    <r>
      <rPr>
        <sz val="9"/>
        <color theme="1"/>
        <rFont val="맑은 고딕"/>
        <family val="2"/>
      </rPr>
      <t>원인은</t>
    </r>
    <r>
      <rPr>
        <sz val="9"/>
        <color theme="1"/>
        <rFont val="Calibri"/>
        <family val="2"/>
      </rPr>
      <t xml:space="preserve"> </t>
    </r>
    <r>
      <rPr>
        <sz val="9"/>
        <color theme="1"/>
        <rFont val="맑은 고딕"/>
        <family val="2"/>
      </rPr>
      <t>아래의</t>
    </r>
    <r>
      <rPr>
        <sz val="9"/>
        <color theme="1"/>
        <rFont val="Calibri"/>
        <family val="2"/>
      </rPr>
      <t xml:space="preserve"> </t>
    </r>
    <r>
      <rPr>
        <sz val="9"/>
        <color theme="1"/>
        <rFont val="맑은 고딕"/>
        <family val="2"/>
      </rPr>
      <t>메시지를</t>
    </r>
    <r>
      <rPr>
        <sz val="9"/>
        <color theme="1"/>
        <rFont val="Calibri"/>
        <family val="2"/>
      </rPr>
      <t xml:space="preserve"> </t>
    </r>
    <r>
      <rPr>
        <sz val="9"/>
        <color theme="1"/>
        <rFont val="맑은 고딕"/>
        <family val="2"/>
      </rPr>
      <t>확인하시기</t>
    </r>
    <r>
      <rPr>
        <sz val="9"/>
        <color theme="1"/>
        <rFont val="Calibri"/>
        <family val="2"/>
      </rPr>
      <t xml:space="preserve"> </t>
    </r>
    <r>
      <rPr>
        <sz val="9"/>
        <color theme="1"/>
        <rFont val="맑은 고딕"/>
        <family val="2"/>
      </rPr>
      <t>바랍니다</t>
    </r>
    <r>
      <rPr>
        <sz val="9"/>
        <color theme="1"/>
        <rFont val="Calibri"/>
        <family val="2"/>
      </rPr>
      <t>.</t>
    </r>
  </si>
  <si>
    <r>
      <t xml:space="preserve">* </t>
    </r>
    <r>
      <rPr>
        <sz val="9"/>
        <color theme="1"/>
        <rFont val="맑은 고딕"/>
        <family val="2"/>
      </rPr>
      <t>가져올</t>
    </r>
    <r>
      <rPr>
        <sz val="9"/>
        <color theme="1"/>
        <rFont val="Calibri"/>
        <family val="2"/>
      </rPr>
      <t xml:space="preserve"> </t>
    </r>
    <r>
      <rPr>
        <sz val="9"/>
        <color theme="1"/>
        <rFont val="맑은 고딕"/>
        <family val="2"/>
      </rPr>
      <t>파일이</t>
    </r>
    <r>
      <rPr>
        <sz val="9"/>
        <color theme="1"/>
        <rFont val="Calibri"/>
        <family val="2"/>
      </rPr>
      <t xml:space="preserve"> XLGantt</t>
    </r>
    <r>
      <rPr>
        <sz val="9"/>
        <color theme="1"/>
        <rFont val="맑은 고딕"/>
        <family val="2"/>
      </rPr>
      <t>로</t>
    </r>
    <r>
      <rPr>
        <sz val="9"/>
        <color theme="1"/>
        <rFont val="Calibri"/>
        <family val="2"/>
      </rPr>
      <t xml:space="preserve"> </t>
    </r>
    <r>
      <rPr>
        <sz val="9"/>
        <color theme="1"/>
        <rFont val="맑은 고딕"/>
        <family val="2"/>
      </rPr>
      <t>작성된</t>
    </r>
    <r>
      <rPr>
        <sz val="9"/>
        <color theme="1"/>
        <rFont val="Calibri"/>
        <family val="2"/>
      </rPr>
      <t xml:space="preserve"> </t>
    </r>
    <r>
      <rPr>
        <sz val="9"/>
        <color theme="1"/>
        <rFont val="맑은 고딕"/>
        <family val="2"/>
      </rPr>
      <t>경우만</t>
    </r>
    <r>
      <rPr>
        <sz val="9"/>
        <color theme="1"/>
        <rFont val="Calibri"/>
        <family val="2"/>
      </rPr>
      <t xml:space="preserve"> </t>
    </r>
    <r>
      <rPr>
        <sz val="9"/>
        <color theme="1"/>
        <rFont val="맑은 고딕"/>
        <family val="2"/>
      </rPr>
      <t xml:space="preserve">가능_x000D_
</t>
    </r>
    <r>
      <rPr>
        <sz val="9"/>
        <color theme="1"/>
        <rFont val="Calibri"/>
        <family val="2"/>
      </rPr>
      <t>\n* XLGantt</t>
    </r>
    <r>
      <rPr>
        <sz val="9"/>
        <color theme="1"/>
        <rFont val="맑은 고딕"/>
        <family val="2"/>
      </rPr>
      <t>의</t>
    </r>
    <r>
      <rPr>
        <sz val="9"/>
        <color theme="1"/>
        <rFont val="Calibri"/>
        <family val="2"/>
      </rPr>
      <t xml:space="preserve"> </t>
    </r>
    <r>
      <rPr>
        <sz val="9"/>
        <color theme="1"/>
        <rFont val="맑은 고딕"/>
        <family val="2"/>
      </rPr>
      <t>버전이</t>
    </r>
    <r>
      <rPr>
        <sz val="9"/>
        <color theme="1"/>
        <rFont val="Calibri"/>
        <family val="2"/>
      </rPr>
      <t xml:space="preserve"> 0.9.7 </t>
    </r>
    <r>
      <rPr>
        <sz val="9"/>
        <color theme="1"/>
        <rFont val="맑은 고딕"/>
        <family val="2"/>
      </rPr>
      <t>이상인</t>
    </r>
    <r>
      <rPr>
        <sz val="9"/>
        <color theme="1"/>
        <rFont val="Calibri"/>
        <family val="2"/>
      </rPr>
      <t xml:space="preserve"> </t>
    </r>
    <r>
      <rPr>
        <sz val="9"/>
        <color theme="1"/>
        <rFont val="맑은 고딕"/>
        <family val="2"/>
      </rPr>
      <t>경우만</t>
    </r>
    <r>
      <rPr>
        <sz val="9"/>
        <color theme="1"/>
        <rFont val="Calibri"/>
        <family val="2"/>
      </rPr>
      <t xml:space="preserve"> </t>
    </r>
    <r>
      <rPr>
        <sz val="9"/>
        <color theme="1"/>
        <rFont val="맑은 고딕"/>
        <family val="2"/>
      </rPr>
      <t>가능</t>
    </r>
    <r>
      <rPr>
        <sz val="9"/>
        <color theme="1"/>
        <rFont val="Calibri"/>
        <family val="2"/>
      </rPr>
      <t xml:space="preserve">\n* </t>
    </r>
    <r>
      <rPr>
        <sz val="9"/>
        <color theme="1"/>
        <rFont val="맑은 고딕"/>
        <family val="2"/>
      </rPr>
      <t>자료의</t>
    </r>
    <r>
      <rPr>
        <sz val="9"/>
        <color theme="1"/>
        <rFont val="Calibri"/>
        <family val="2"/>
      </rPr>
      <t xml:space="preserve"> </t>
    </r>
    <r>
      <rPr>
        <sz val="9"/>
        <color theme="1"/>
        <rFont val="맑은 고딕"/>
        <family val="2"/>
      </rPr>
      <t>갯수는</t>
    </r>
    <r>
      <rPr>
        <sz val="9"/>
        <color theme="1"/>
        <rFont val="Calibri"/>
        <family val="2"/>
      </rPr>
      <t xml:space="preserve"> 10,000</t>
    </r>
    <r>
      <rPr>
        <sz val="9"/>
        <color theme="1"/>
        <rFont val="맑은 고딕"/>
        <family val="2"/>
      </rPr>
      <t>개</t>
    </r>
    <r>
      <rPr>
        <sz val="9"/>
        <color theme="1"/>
        <rFont val="Calibri"/>
        <family val="2"/>
      </rPr>
      <t xml:space="preserve"> </t>
    </r>
    <r>
      <rPr>
        <sz val="9"/>
        <color theme="1"/>
        <rFont val="맑은 고딕"/>
        <family val="2"/>
      </rPr>
      <t>이하까지만</t>
    </r>
    <r>
      <rPr>
        <sz val="9"/>
        <color theme="1"/>
        <rFont val="Calibri"/>
        <family val="2"/>
      </rPr>
      <t xml:space="preserve"> </t>
    </r>
    <r>
      <rPr>
        <sz val="9"/>
        <color theme="1"/>
        <rFont val="맑은 고딕"/>
        <family val="2"/>
      </rPr>
      <t xml:space="preserve">처리됨_x000D_
</t>
    </r>
    <r>
      <rPr>
        <sz val="9"/>
        <color theme="1"/>
        <rFont val="Calibri"/>
        <family val="2"/>
      </rPr>
      <t xml:space="preserve">\n* </t>
    </r>
    <r>
      <rPr>
        <sz val="9"/>
        <color theme="1"/>
        <rFont val="맑은 고딕"/>
        <family val="2"/>
      </rPr>
      <t>여러개의</t>
    </r>
    <r>
      <rPr>
        <sz val="9"/>
        <color theme="1"/>
        <rFont val="Calibri"/>
        <family val="2"/>
      </rPr>
      <t xml:space="preserve"> </t>
    </r>
    <r>
      <rPr>
        <sz val="9"/>
        <color theme="1"/>
        <rFont val="맑은 고딕"/>
        <family val="2"/>
      </rPr>
      <t>파일</t>
    </r>
    <r>
      <rPr>
        <sz val="9"/>
        <color theme="1"/>
        <rFont val="Calibri"/>
        <family val="2"/>
      </rPr>
      <t xml:space="preserve"> </t>
    </r>
    <r>
      <rPr>
        <sz val="9"/>
        <color theme="1"/>
        <rFont val="맑은 고딕"/>
        <family val="2"/>
      </rPr>
      <t>동시처리</t>
    </r>
    <r>
      <rPr>
        <sz val="9"/>
        <color theme="1"/>
        <rFont val="Calibri"/>
        <family val="2"/>
      </rPr>
      <t xml:space="preserve"> </t>
    </r>
    <r>
      <rPr>
        <sz val="9"/>
        <color theme="1"/>
        <rFont val="맑은 고딕"/>
        <family val="2"/>
      </rPr>
      <t xml:space="preserve">가능_x000D_
</t>
    </r>
  </si>
  <si>
    <r>
      <rPr>
        <sz val="9"/>
        <color theme="1"/>
        <rFont val="맑은 고딕"/>
        <family val="2"/>
      </rPr>
      <t>프로젝트</t>
    </r>
    <r>
      <rPr>
        <sz val="9"/>
        <color theme="1"/>
        <rFont val="Calibri"/>
        <family val="2"/>
      </rPr>
      <t xml:space="preserve"> </t>
    </r>
    <r>
      <rPr>
        <sz val="9"/>
        <color theme="1"/>
        <rFont val="맑은 고딕"/>
        <family val="2"/>
      </rPr>
      <t>기간이</t>
    </r>
    <r>
      <rPr>
        <sz val="9"/>
        <color theme="1"/>
        <rFont val="Calibri"/>
        <family val="2"/>
      </rPr>
      <t xml:space="preserve"> </t>
    </r>
    <r>
      <rPr>
        <sz val="9"/>
        <color theme="1"/>
        <rFont val="맑은 고딕"/>
        <family val="2"/>
      </rPr>
      <t>너무</t>
    </r>
    <r>
      <rPr>
        <sz val="9"/>
        <color theme="1"/>
        <rFont val="Calibri"/>
        <family val="2"/>
      </rPr>
      <t xml:space="preserve"> </t>
    </r>
    <r>
      <rPr>
        <sz val="9"/>
        <color theme="1"/>
        <rFont val="맑은 고딕"/>
        <family val="2"/>
      </rPr>
      <t>깁니다</t>
    </r>
    <r>
      <rPr>
        <sz val="9"/>
        <color theme="1"/>
        <rFont val="Calibri"/>
        <family val="2"/>
      </rPr>
      <t xml:space="preserve">. </t>
    </r>
    <r>
      <rPr>
        <sz val="9"/>
        <color theme="1"/>
        <rFont val="맑은 고딕"/>
        <family val="2"/>
      </rPr>
      <t>가장</t>
    </r>
    <r>
      <rPr>
        <sz val="9"/>
        <color theme="1"/>
        <rFont val="Calibri"/>
        <family val="2"/>
      </rPr>
      <t xml:space="preserve"> </t>
    </r>
    <r>
      <rPr>
        <sz val="9"/>
        <color theme="1"/>
        <rFont val="맑은 고딕"/>
        <family val="2"/>
      </rPr>
      <t>빠른</t>
    </r>
    <r>
      <rPr>
        <sz val="9"/>
        <color theme="1"/>
        <rFont val="Calibri"/>
        <family val="2"/>
      </rPr>
      <t xml:space="preserve"> </t>
    </r>
    <r>
      <rPr>
        <sz val="9"/>
        <color theme="1"/>
        <rFont val="맑은 고딕"/>
        <family val="2"/>
      </rPr>
      <t>시작일자는</t>
    </r>
    <r>
      <rPr>
        <sz val="9"/>
        <color theme="1"/>
        <rFont val="Calibri"/>
        <family val="2"/>
      </rPr>
      <t xml:space="preserve"> {1}</t>
    </r>
    <r>
      <rPr>
        <sz val="9"/>
        <color theme="1"/>
        <rFont val="맑은 고딕"/>
        <family val="2"/>
      </rPr>
      <t>이고</t>
    </r>
    <r>
      <rPr>
        <sz val="9"/>
        <color theme="1"/>
        <rFont val="Calibri"/>
        <family val="2"/>
      </rPr>
      <t xml:space="preserve"> </t>
    </r>
    <r>
      <rPr>
        <sz val="9"/>
        <color theme="1"/>
        <rFont val="맑은 고딕"/>
        <family val="2"/>
      </rPr>
      <t>가장</t>
    </r>
    <r>
      <rPr>
        <sz val="9"/>
        <color theme="1"/>
        <rFont val="Calibri"/>
        <family val="2"/>
      </rPr>
      <t xml:space="preserve"> </t>
    </r>
    <r>
      <rPr>
        <sz val="9"/>
        <color theme="1"/>
        <rFont val="맑은 고딕"/>
        <family val="2"/>
      </rPr>
      <t>늦은</t>
    </r>
    <r>
      <rPr>
        <sz val="9"/>
        <color theme="1"/>
        <rFont val="Calibri"/>
        <family val="2"/>
      </rPr>
      <t xml:space="preserve"> </t>
    </r>
    <r>
      <rPr>
        <sz val="9"/>
        <color theme="1"/>
        <rFont val="맑은 고딕"/>
        <family val="2"/>
      </rPr>
      <t>완료일자는</t>
    </r>
    <r>
      <rPr>
        <sz val="9"/>
        <color theme="1"/>
        <rFont val="Calibri"/>
        <family val="2"/>
      </rPr>
      <t xml:space="preserve"> {2}</t>
    </r>
    <r>
      <rPr>
        <sz val="9"/>
        <color theme="1"/>
        <rFont val="맑은 고딕"/>
        <family val="2"/>
      </rPr>
      <t>이므로</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기간은</t>
    </r>
    <r>
      <rPr>
        <sz val="9"/>
        <color theme="1"/>
        <rFont val="Calibri"/>
        <family val="2"/>
      </rPr>
      <t xml:space="preserve"> {3}</t>
    </r>
    <r>
      <rPr>
        <sz val="9"/>
        <color theme="1"/>
        <rFont val="맑은 고딕"/>
        <family val="2"/>
      </rPr>
      <t>일입니다</t>
    </r>
    <r>
      <rPr>
        <sz val="9"/>
        <color theme="1"/>
        <rFont val="Calibri"/>
        <family val="2"/>
      </rPr>
      <t>. XLGantt</t>
    </r>
    <r>
      <rPr>
        <sz val="9"/>
        <color theme="1"/>
        <rFont val="맑은 고딕"/>
        <family val="2"/>
      </rPr>
      <t>에서</t>
    </r>
    <r>
      <rPr>
        <sz val="9"/>
        <color theme="1"/>
        <rFont val="Calibri"/>
        <family val="2"/>
      </rPr>
      <t xml:space="preserve"> </t>
    </r>
    <r>
      <rPr>
        <sz val="9"/>
        <color theme="1"/>
        <rFont val="맑은 고딕"/>
        <family val="2"/>
      </rPr>
      <t>허용되는</t>
    </r>
    <r>
      <rPr>
        <sz val="9"/>
        <color theme="1"/>
        <rFont val="Calibri"/>
        <family val="2"/>
      </rPr>
      <t xml:space="preserve"> </t>
    </r>
    <r>
      <rPr>
        <sz val="9"/>
        <color theme="1"/>
        <rFont val="맑은 고딕"/>
        <family val="2"/>
      </rPr>
      <t>최대일수는</t>
    </r>
    <r>
      <rPr>
        <sz val="9"/>
        <color theme="1"/>
        <rFont val="Calibri"/>
        <family val="2"/>
      </rPr>
      <t xml:space="preserve"> {4}</t>
    </r>
    <r>
      <rPr>
        <sz val="9"/>
        <color theme="1"/>
        <rFont val="맑은 고딕"/>
        <family val="2"/>
      </rPr>
      <t>일입니다</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기간을</t>
    </r>
    <r>
      <rPr>
        <sz val="9"/>
        <color theme="1"/>
        <rFont val="Calibri"/>
        <family val="2"/>
      </rPr>
      <t xml:space="preserve"> XLGantt</t>
    </r>
    <r>
      <rPr>
        <sz val="9"/>
        <color theme="1"/>
        <rFont val="맑은 고딕"/>
        <family val="2"/>
      </rPr>
      <t>에서</t>
    </r>
    <r>
      <rPr>
        <sz val="9"/>
        <color theme="1"/>
        <rFont val="Calibri"/>
        <family val="2"/>
      </rPr>
      <t xml:space="preserve"> </t>
    </r>
    <r>
      <rPr>
        <sz val="9"/>
        <color theme="1"/>
        <rFont val="맑은 고딕"/>
        <family val="2"/>
      </rPr>
      <t>허용하는</t>
    </r>
    <r>
      <rPr>
        <sz val="9"/>
        <color theme="1"/>
        <rFont val="Calibri"/>
        <family val="2"/>
      </rPr>
      <t xml:space="preserve"> </t>
    </r>
    <r>
      <rPr>
        <sz val="9"/>
        <color theme="1"/>
        <rFont val="맑은 고딕"/>
        <family val="2"/>
      </rPr>
      <t>범위내로</t>
    </r>
    <r>
      <rPr>
        <sz val="9"/>
        <color theme="1"/>
        <rFont val="Calibri"/>
        <family val="2"/>
      </rPr>
      <t xml:space="preserve"> </t>
    </r>
    <r>
      <rPr>
        <sz val="9"/>
        <color theme="1"/>
        <rFont val="맑은 고딕"/>
        <family val="2"/>
      </rPr>
      <t>줄이십시오</t>
    </r>
    <r>
      <rPr>
        <sz val="9"/>
        <color theme="1"/>
        <rFont val="Calibri"/>
        <family val="2"/>
      </rPr>
      <t>.</t>
    </r>
  </si>
  <si>
    <r>
      <t xml:space="preserve"> Source</t>
    </r>
    <r>
      <rPr>
        <sz val="9"/>
        <color theme="1"/>
        <rFont val="맑은 고딕"/>
        <family val="2"/>
      </rPr>
      <t>필드</t>
    </r>
    <r>
      <rPr>
        <sz val="9"/>
        <color theme="1"/>
        <rFont val="Calibri"/>
        <family val="2"/>
      </rPr>
      <t xml:space="preserve"> </t>
    </r>
    <r>
      <rPr>
        <sz val="9"/>
        <color theme="1"/>
        <rFont val="맑은 고딕"/>
        <family val="2"/>
      </rPr>
      <t>명</t>
    </r>
    <r>
      <rPr>
        <sz val="9"/>
        <color theme="1"/>
        <rFont val="Calibri"/>
        <family val="2"/>
      </rPr>
      <t xml:space="preserve">       Target</t>
    </r>
    <r>
      <rPr>
        <sz val="9"/>
        <color theme="1"/>
        <rFont val="맑은 고딕"/>
        <family val="2"/>
      </rPr>
      <t>필드</t>
    </r>
    <r>
      <rPr>
        <sz val="9"/>
        <color theme="1"/>
        <rFont val="Calibri"/>
        <family val="2"/>
      </rPr>
      <t xml:space="preserve"> </t>
    </r>
    <r>
      <rPr>
        <sz val="9"/>
        <color theme="1"/>
        <rFont val="맑은 고딕"/>
        <family val="2"/>
      </rPr>
      <t>명</t>
    </r>
  </si>
  <si>
    <r>
      <t xml:space="preserve"> </t>
    </r>
    <r>
      <rPr>
        <sz val="9"/>
        <color theme="1"/>
        <rFont val="맑은 고딕"/>
        <family val="2"/>
      </rPr>
      <t>필드</t>
    </r>
    <r>
      <rPr>
        <sz val="9"/>
        <color theme="1"/>
        <rFont val="Calibri"/>
        <family val="2"/>
      </rPr>
      <t xml:space="preserve"> </t>
    </r>
    <r>
      <rPr>
        <sz val="9"/>
        <color theme="1"/>
        <rFont val="맑은 고딕"/>
        <family val="2"/>
      </rPr>
      <t>명</t>
    </r>
    <r>
      <rPr>
        <sz val="9"/>
        <color theme="1"/>
        <rFont val="Calibri"/>
        <family val="2"/>
      </rPr>
      <t xml:space="preserve">                </t>
    </r>
    <r>
      <rPr>
        <sz val="9"/>
        <color theme="1"/>
        <rFont val="맑은 고딕"/>
        <family val="2"/>
      </rPr>
      <t>값</t>
    </r>
    <r>
      <rPr>
        <sz val="9"/>
        <color theme="1"/>
        <rFont val="Calibri"/>
        <family val="2"/>
      </rPr>
      <t xml:space="preserve"> </t>
    </r>
    <r>
      <rPr>
        <sz val="9"/>
        <color theme="1"/>
        <rFont val="맑은 고딕"/>
        <family val="2"/>
      </rPr>
      <t>예시</t>
    </r>
  </si>
  <si>
    <r>
      <t xml:space="preserve"> </t>
    </r>
    <r>
      <rPr>
        <sz val="9"/>
        <color theme="1"/>
        <rFont val="맑은 고딕"/>
        <family val="2"/>
      </rPr>
      <t>필드</t>
    </r>
    <r>
      <rPr>
        <sz val="9"/>
        <color theme="1"/>
        <rFont val="Calibri"/>
        <family val="2"/>
      </rPr>
      <t xml:space="preserve"> </t>
    </r>
    <r>
      <rPr>
        <sz val="9"/>
        <color theme="1"/>
        <rFont val="맑은 고딕"/>
        <family val="2"/>
      </rPr>
      <t>명</t>
    </r>
    <r>
      <rPr>
        <sz val="9"/>
        <color theme="1"/>
        <rFont val="Calibri"/>
        <family val="2"/>
      </rPr>
      <t xml:space="preserve">                </t>
    </r>
    <r>
      <rPr>
        <sz val="9"/>
        <color theme="1"/>
        <rFont val="맑은 고딕"/>
        <family val="2"/>
      </rPr>
      <t>필드</t>
    </r>
    <r>
      <rPr>
        <sz val="9"/>
        <color theme="1"/>
        <rFont val="Calibri"/>
        <family val="2"/>
      </rPr>
      <t xml:space="preserve"> </t>
    </r>
    <r>
      <rPr>
        <sz val="9"/>
        <color theme="1"/>
        <rFont val="맑은 고딕"/>
        <family val="2"/>
      </rPr>
      <t>값</t>
    </r>
  </si>
  <si>
    <r>
      <t xml:space="preserve"> Mapping</t>
    </r>
    <r>
      <rPr>
        <sz val="9"/>
        <color theme="1"/>
        <rFont val="맑은 고딕"/>
        <family val="2"/>
      </rPr>
      <t>된</t>
    </r>
    <r>
      <rPr>
        <sz val="9"/>
        <color theme="1"/>
        <rFont val="Calibri"/>
        <family val="2"/>
      </rPr>
      <t xml:space="preserve"> </t>
    </r>
    <r>
      <rPr>
        <sz val="9"/>
        <color theme="1"/>
        <rFont val="맑은 고딕"/>
        <family val="2"/>
      </rPr>
      <t>상태</t>
    </r>
  </si>
  <si>
    <r>
      <t xml:space="preserve"> </t>
    </r>
    <r>
      <rPr>
        <sz val="9"/>
        <color theme="1"/>
        <rFont val="맑은 고딕"/>
        <family val="2"/>
      </rPr>
      <t>프로젝트</t>
    </r>
    <r>
      <rPr>
        <sz val="9"/>
        <color theme="1"/>
        <rFont val="Calibri"/>
        <family val="2"/>
      </rPr>
      <t xml:space="preserve"> </t>
    </r>
    <r>
      <rPr>
        <sz val="9"/>
        <color theme="1"/>
        <rFont val="맑은 고딕"/>
        <family val="2"/>
      </rPr>
      <t>휴무일</t>
    </r>
    <r>
      <rPr>
        <sz val="9"/>
        <color theme="1"/>
        <rFont val="Calibri"/>
        <family val="2"/>
      </rPr>
      <t xml:space="preserve"> Calendar </t>
    </r>
    <r>
      <rPr>
        <sz val="9"/>
        <color theme="1"/>
        <rFont val="맑은 고딕"/>
        <family val="2"/>
      </rPr>
      <t>설정</t>
    </r>
  </si>
  <si>
    <r>
      <rPr>
        <sz val="9"/>
        <color theme="1"/>
        <rFont val="맑은 고딕"/>
        <family val="2"/>
      </rPr>
      <t>실적진척율은</t>
    </r>
    <r>
      <rPr>
        <sz val="9"/>
        <color theme="1"/>
        <rFont val="Calibri"/>
        <family val="2"/>
      </rPr>
      <t xml:space="preserve"> 0~100% </t>
    </r>
    <r>
      <rPr>
        <sz val="9"/>
        <color theme="1"/>
        <rFont val="맑은 고딕"/>
        <family val="2"/>
      </rPr>
      <t>범위만</t>
    </r>
    <r>
      <rPr>
        <sz val="9"/>
        <color theme="1"/>
        <rFont val="Calibri"/>
        <family val="2"/>
      </rPr>
      <t xml:space="preserve"> </t>
    </r>
    <r>
      <rPr>
        <sz val="9"/>
        <color theme="1"/>
        <rFont val="맑은 고딕"/>
        <family val="2"/>
      </rPr>
      <t>입력가능합니다</t>
    </r>
    <r>
      <rPr>
        <sz val="9"/>
        <color theme="1"/>
        <rFont val="Calibri"/>
        <family val="2"/>
      </rPr>
      <t>.</t>
    </r>
  </si>
  <si>
    <r>
      <rPr>
        <sz val="9"/>
        <color theme="1"/>
        <rFont val="맑은 고딕"/>
        <family val="2"/>
      </rPr>
      <t>개요수준</t>
    </r>
    <r>
      <rPr>
        <sz val="9"/>
        <color theme="1"/>
        <rFont val="Calibri"/>
        <family val="2"/>
      </rPr>
      <t>(</t>
    </r>
    <r>
      <rPr>
        <sz val="9"/>
        <color theme="1"/>
        <rFont val="맑은 고딕"/>
        <family val="2"/>
      </rPr>
      <t>작업</t>
    </r>
    <r>
      <rPr>
        <sz val="9"/>
        <color theme="1"/>
        <rFont val="Calibri"/>
        <family val="2"/>
      </rPr>
      <t>Level)</t>
    </r>
    <r>
      <rPr>
        <sz val="9"/>
        <color theme="1"/>
        <rFont val="맑은 고딕"/>
        <family val="2"/>
      </rPr>
      <t>필드입니다</t>
    </r>
    <r>
      <rPr>
        <sz val="9"/>
        <color theme="1"/>
        <rFont val="Calibri"/>
        <family val="2"/>
      </rPr>
      <t xml:space="preserve">. </t>
    </r>
    <r>
      <rPr>
        <sz val="9"/>
        <color theme="1"/>
        <rFont val="맑은 고딕"/>
        <family val="2"/>
      </rPr>
      <t>작업의</t>
    </r>
    <r>
      <rPr>
        <sz val="9"/>
        <color theme="1"/>
        <rFont val="Calibri"/>
        <family val="2"/>
      </rPr>
      <t xml:space="preserve"> Level</t>
    </r>
    <r>
      <rPr>
        <sz val="9"/>
        <color theme="1"/>
        <rFont val="맑은 고딕"/>
        <family val="2"/>
      </rPr>
      <t>을</t>
    </r>
    <r>
      <rPr>
        <sz val="9"/>
        <color theme="1"/>
        <rFont val="Calibri"/>
        <family val="2"/>
      </rPr>
      <t xml:space="preserve"> </t>
    </r>
    <r>
      <rPr>
        <sz val="9"/>
        <color theme="1"/>
        <rFont val="맑은 고딕"/>
        <family val="2"/>
      </rPr>
      <t>표시합니다</t>
    </r>
    <r>
      <rPr>
        <sz val="9"/>
        <color theme="1"/>
        <rFont val="Calibri"/>
        <family val="2"/>
      </rPr>
      <t xml:space="preserve">. </t>
    </r>
    <r>
      <rPr>
        <sz val="9"/>
        <color theme="1"/>
        <rFont val="맑은 고딕"/>
        <family val="2"/>
      </rPr>
      <t>예를</t>
    </r>
    <r>
      <rPr>
        <sz val="9"/>
        <color theme="1"/>
        <rFont val="Calibri"/>
        <family val="2"/>
      </rPr>
      <t xml:space="preserve"> </t>
    </r>
    <r>
      <rPr>
        <sz val="9"/>
        <color theme="1"/>
        <rFont val="맑은 고딕"/>
        <family val="2"/>
      </rPr>
      <t>들어</t>
    </r>
    <r>
      <rPr>
        <sz val="9"/>
        <color theme="1"/>
        <rFont val="Calibri"/>
        <family val="2"/>
      </rPr>
      <t xml:space="preserve"> 2 Level</t>
    </r>
    <r>
      <rPr>
        <sz val="9"/>
        <color theme="1"/>
        <rFont val="맑은 고딕"/>
        <family val="2"/>
      </rPr>
      <t>의</t>
    </r>
    <r>
      <rPr>
        <sz val="9"/>
        <color theme="1"/>
        <rFont val="Calibri"/>
        <family val="2"/>
      </rPr>
      <t xml:space="preserve"> </t>
    </r>
    <r>
      <rPr>
        <sz val="9"/>
        <color theme="1"/>
        <rFont val="맑은 고딕"/>
        <family val="2"/>
      </rPr>
      <t>작업이면</t>
    </r>
    <r>
      <rPr>
        <sz val="9"/>
        <color theme="1"/>
        <rFont val="Calibri"/>
        <family val="2"/>
      </rPr>
      <t xml:space="preserve"> </t>
    </r>
    <r>
      <rPr>
        <sz val="9"/>
        <color theme="1"/>
        <rFont val="맑은 고딕"/>
        <family val="2"/>
      </rPr>
      <t>숫자</t>
    </r>
    <r>
      <rPr>
        <sz val="9"/>
        <color theme="1"/>
        <rFont val="Calibri"/>
        <family val="2"/>
      </rPr>
      <t xml:space="preserve"> 2</t>
    </r>
    <r>
      <rPr>
        <sz val="9"/>
        <color theme="1"/>
        <rFont val="맑은 고딕"/>
        <family val="2"/>
      </rPr>
      <t>로</t>
    </r>
    <r>
      <rPr>
        <sz val="9"/>
        <color theme="1"/>
        <rFont val="Calibri"/>
        <family val="2"/>
      </rPr>
      <t xml:space="preserve"> </t>
    </r>
    <r>
      <rPr>
        <sz val="9"/>
        <color theme="1"/>
        <rFont val="맑은 고딕"/>
        <family val="2"/>
      </rPr>
      <t>표시됩니다</t>
    </r>
    <r>
      <rPr>
        <sz val="9"/>
        <color theme="1"/>
        <rFont val="Calibri"/>
        <family val="2"/>
      </rPr>
      <t xml:space="preserve">. </t>
    </r>
    <r>
      <rPr>
        <sz val="9"/>
        <color theme="1"/>
        <rFont val="맑은 고딕"/>
        <family val="2"/>
      </rPr>
      <t>개요수준대신</t>
    </r>
    <r>
      <rPr>
        <sz val="9"/>
        <color theme="1"/>
        <rFont val="Calibri"/>
        <family val="2"/>
      </rPr>
      <t xml:space="preserve"> WBS</t>
    </r>
    <r>
      <rPr>
        <sz val="9"/>
        <color theme="1"/>
        <rFont val="맑은 고딕"/>
        <family val="2"/>
      </rPr>
      <t>필드</t>
    </r>
    <r>
      <rPr>
        <sz val="9"/>
        <color theme="1"/>
        <rFont val="Calibri"/>
        <family val="2"/>
      </rPr>
      <t xml:space="preserve">(1.3.2 </t>
    </r>
    <r>
      <rPr>
        <sz val="9"/>
        <color theme="1"/>
        <rFont val="맑은 고딕"/>
        <family val="2"/>
      </rPr>
      <t>등의</t>
    </r>
    <r>
      <rPr>
        <sz val="9"/>
        <color theme="1"/>
        <rFont val="Calibri"/>
        <family val="2"/>
      </rPr>
      <t xml:space="preserve"> </t>
    </r>
    <r>
      <rPr>
        <sz val="9"/>
        <color theme="1"/>
        <rFont val="맑은 고딕"/>
        <family val="2"/>
      </rPr>
      <t>형식으로</t>
    </r>
    <r>
      <rPr>
        <sz val="9"/>
        <color theme="1"/>
        <rFont val="Calibri"/>
        <family val="2"/>
      </rPr>
      <t xml:space="preserve"> </t>
    </r>
    <r>
      <rPr>
        <sz val="9"/>
        <color theme="1"/>
        <rFont val="맑은 고딕"/>
        <family val="2"/>
      </rPr>
      <t>표시</t>
    </r>
    <r>
      <rPr>
        <sz val="9"/>
        <color theme="1"/>
        <rFont val="Calibri"/>
        <family val="2"/>
      </rPr>
      <t>)</t>
    </r>
    <r>
      <rPr>
        <sz val="9"/>
        <color theme="1"/>
        <rFont val="맑은 고딕"/>
        <family val="2"/>
      </rPr>
      <t>를</t>
    </r>
    <r>
      <rPr>
        <sz val="9"/>
        <color theme="1"/>
        <rFont val="Calibri"/>
        <family val="2"/>
      </rPr>
      <t xml:space="preserve"> </t>
    </r>
    <r>
      <rPr>
        <sz val="9"/>
        <color theme="1"/>
        <rFont val="맑은 고딕"/>
        <family val="2"/>
      </rPr>
      <t>사용하기도</t>
    </r>
    <r>
      <rPr>
        <sz val="9"/>
        <color theme="1"/>
        <rFont val="Calibri"/>
        <family val="2"/>
      </rPr>
      <t xml:space="preserve"> </t>
    </r>
    <r>
      <rPr>
        <sz val="9"/>
        <color theme="1"/>
        <rFont val="맑은 고딕"/>
        <family val="2"/>
      </rPr>
      <t>합니다</t>
    </r>
    <r>
      <rPr>
        <sz val="9"/>
        <color theme="1"/>
        <rFont val="Calibri"/>
        <family val="2"/>
      </rPr>
      <t>.</t>
    </r>
  </si>
  <si>
    <r>
      <t xml:space="preserve">WBS(Work Breakdown Structure) </t>
    </r>
    <r>
      <rPr>
        <sz val="9"/>
        <color theme="1"/>
        <rFont val="맑은 고딕"/>
        <family val="2"/>
      </rPr>
      <t>필드입니다</t>
    </r>
    <r>
      <rPr>
        <sz val="9"/>
        <color theme="1"/>
        <rFont val="Calibri"/>
        <family val="2"/>
      </rPr>
      <t xml:space="preserve">. </t>
    </r>
    <r>
      <rPr>
        <sz val="9"/>
        <color theme="1"/>
        <rFont val="맑은 고딕"/>
        <family val="2"/>
      </rPr>
      <t>작업의</t>
    </r>
    <r>
      <rPr>
        <sz val="9"/>
        <color theme="1"/>
        <rFont val="Calibri"/>
        <family val="2"/>
      </rPr>
      <t xml:space="preserve"> Level</t>
    </r>
    <r>
      <rPr>
        <sz val="9"/>
        <color theme="1"/>
        <rFont val="맑은 고딕"/>
        <family val="2"/>
      </rPr>
      <t>을</t>
    </r>
    <r>
      <rPr>
        <sz val="9"/>
        <color theme="1"/>
        <rFont val="Calibri"/>
        <family val="2"/>
      </rPr>
      <t xml:space="preserve"> </t>
    </r>
    <r>
      <rPr>
        <sz val="9"/>
        <color theme="1"/>
        <rFont val="맑은 고딕"/>
        <family val="2"/>
      </rPr>
      <t>표시합니다</t>
    </r>
    <r>
      <rPr>
        <sz val="9"/>
        <color theme="1"/>
        <rFont val="Calibri"/>
        <family val="2"/>
      </rPr>
      <t xml:space="preserve">. 1.3.2 </t>
    </r>
    <r>
      <rPr>
        <sz val="9"/>
        <color theme="1"/>
        <rFont val="맑은 고딕"/>
        <family val="2"/>
      </rPr>
      <t>등의</t>
    </r>
    <r>
      <rPr>
        <sz val="9"/>
        <color theme="1"/>
        <rFont val="Calibri"/>
        <family val="2"/>
      </rPr>
      <t xml:space="preserve"> </t>
    </r>
    <r>
      <rPr>
        <sz val="9"/>
        <color theme="1"/>
        <rFont val="맑은 고딕"/>
        <family val="2"/>
      </rPr>
      <t>형식으로</t>
    </r>
    <r>
      <rPr>
        <sz val="9"/>
        <color theme="1"/>
        <rFont val="Calibri"/>
        <family val="2"/>
      </rPr>
      <t xml:space="preserve"> </t>
    </r>
    <r>
      <rPr>
        <sz val="9"/>
        <color theme="1"/>
        <rFont val="맑은 고딕"/>
        <family val="2"/>
      </rPr>
      <t>표시됩니다</t>
    </r>
    <r>
      <rPr>
        <sz val="9"/>
        <color theme="1"/>
        <rFont val="Calibri"/>
        <family val="2"/>
      </rPr>
      <t>. WBS</t>
    </r>
    <r>
      <rPr>
        <sz val="9"/>
        <color theme="1"/>
        <rFont val="맑은 고딕"/>
        <family val="2"/>
      </rPr>
      <t>대신</t>
    </r>
    <r>
      <rPr>
        <sz val="9"/>
        <color theme="1"/>
        <rFont val="Calibri"/>
        <family val="2"/>
      </rPr>
      <t xml:space="preserve"> </t>
    </r>
    <r>
      <rPr>
        <sz val="9"/>
        <color theme="1"/>
        <rFont val="맑은 고딕"/>
        <family val="2"/>
      </rPr>
      <t>개요수준</t>
    </r>
    <r>
      <rPr>
        <sz val="9"/>
        <color theme="1"/>
        <rFont val="Calibri"/>
        <family val="2"/>
      </rPr>
      <t>(</t>
    </r>
    <r>
      <rPr>
        <sz val="9"/>
        <color theme="1"/>
        <rFont val="맑은 고딕"/>
        <family val="2"/>
      </rPr>
      <t>작업</t>
    </r>
    <r>
      <rPr>
        <sz val="9"/>
        <color theme="1"/>
        <rFont val="Calibri"/>
        <family val="2"/>
      </rPr>
      <t>Level)</t>
    </r>
    <r>
      <rPr>
        <sz val="9"/>
        <color theme="1"/>
        <rFont val="맑은 고딕"/>
        <family val="2"/>
      </rPr>
      <t>필드를</t>
    </r>
    <r>
      <rPr>
        <sz val="9"/>
        <color theme="1"/>
        <rFont val="Calibri"/>
        <family val="2"/>
      </rPr>
      <t xml:space="preserve"> </t>
    </r>
    <r>
      <rPr>
        <sz val="9"/>
        <color theme="1"/>
        <rFont val="맑은 고딕"/>
        <family val="2"/>
      </rPr>
      <t>사용하기도</t>
    </r>
    <r>
      <rPr>
        <sz val="9"/>
        <color theme="1"/>
        <rFont val="Calibri"/>
        <family val="2"/>
      </rPr>
      <t xml:space="preserve"> </t>
    </r>
    <r>
      <rPr>
        <sz val="9"/>
        <color theme="1"/>
        <rFont val="맑은 고딕"/>
        <family val="2"/>
      </rPr>
      <t>합니다</t>
    </r>
    <r>
      <rPr>
        <sz val="9"/>
        <color theme="1"/>
        <rFont val="Calibri"/>
        <family val="2"/>
      </rPr>
      <t xml:space="preserve">. </t>
    </r>
    <r>
      <rPr>
        <sz val="9"/>
        <color theme="1"/>
        <rFont val="맑은 고딕"/>
        <family val="2"/>
      </rPr>
      <t>예를</t>
    </r>
    <r>
      <rPr>
        <sz val="9"/>
        <color theme="1"/>
        <rFont val="Calibri"/>
        <family val="2"/>
      </rPr>
      <t xml:space="preserve"> </t>
    </r>
    <r>
      <rPr>
        <sz val="9"/>
        <color theme="1"/>
        <rFont val="맑은 고딕"/>
        <family val="2"/>
      </rPr>
      <t>들어</t>
    </r>
    <r>
      <rPr>
        <sz val="9"/>
        <color theme="1"/>
        <rFont val="Calibri"/>
        <family val="2"/>
      </rPr>
      <t xml:space="preserve"> 2 Level</t>
    </r>
    <r>
      <rPr>
        <sz val="9"/>
        <color theme="1"/>
        <rFont val="맑은 고딕"/>
        <family val="2"/>
      </rPr>
      <t>의</t>
    </r>
    <r>
      <rPr>
        <sz val="9"/>
        <color theme="1"/>
        <rFont val="Calibri"/>
        <family val="2"/>
      </rPr>
      <t xml:space="preserve"> </t>
    </r>
    <r>
      <rPr>
        <sz val="9"/>
        <color theme="1"/>
        <rFont val="맑은 고딕"/>
        <family val="2"/>
      </rPr>
      <t>작업이면</t>
    </r>
    <r>
      <rPr>
        <sz val="9"/>
        <color theme="1"/>
        <rFont val="Calibri"/>
        <family val="2"/>
      </rPr>
      <t xml:space="preserve"> </t>
    </r>
    <r>
      <rPr>
        <sz val="9"/>
        <color theme="1"/>
        <rFont val="맑은 고딕"/>
        <family val="2"/>
      </rPr>
      <t>숫자</t>
    </r>
    <r>
      <rPr>
        <sz val="9"/>
        <color theme="1"/>
        <rFont val="Calibri"/>
        <family val="2"/>
      </rPr>
      <t xml:space="preserve"> 2</t>
    </r>
    <r>
      <rPr>
        <sz val="9"/>
        <color theme="1"/>
        <rFont val="맑은 고딕"/>
        <family val="2"/>
      </rPr>
      <t>로</t>
    </r>
    <r>
      <rPr>
        <sz val="9"/>
        <color theme="1"/>
        <rFont val="Calibri"/>
        <family val="2"/>
      </rPr>
      <t xml:space="preserve"> </t>
    </r>
    <r>
      <rPr>
        <sz val="9"/>
        <color theme="1"/>
        <rFont val="맑은 고딕"/>
        <family val="2"/>
      </rPr>
      <t>표시됩니다</t>
    </r>
    <r>
      <rPr>
        <sz val="9"/>
        <color theme="1"/>
        <rFont val="Calibri"/>
        <family val="2"/>
      </rPr>
      <t>.</t>
    </r>
  </si>
  <si>
    <r>
      <rPr>
        <sz val="9"/>
        <color theme="1"/>
        <rFont val="맑은 고딕"/>
        <family val="2"/>
      </rPr>
      <t>실적</t>
    </r>
    <r>
      <rPr>
        <sz val="9"/>
        <color theme="1"/>
        <rFont val="Calibri"/>
        <family val="2"/>
      </rPr>
      <t xml:space="preserve"> </t>
    </r>
    <r>
      <rPr>
        <sz val="9"/>
        <color theme="1"/>
        <rFont val="맑은 고딕"/>
        <family val="2"/>
      </rPr>
      <t>진척율</t>
    </r>
    <r>
      <rPr>
        <sz val="9"/>
        <color theme="1"/>
        <rFont val="Calibri"/>
        <family val="2"/>
      </rPr>
      <t>(B)</t>
    </r>
  </si>
  <si>
    <r>
      <rPr>
        <sz val="9"/>
        <color theme="1"/>
        <rFont val="맑은 고딕"/>
        <family val="2"/>
      </rPr>
      <t>실적</t>
    </r>
    <r>
      <rPr>
        <sz val="9"/>
        <color theme="1"/>
        <rFont val="Calibri"/>
        <family val="2"/>
      </rPr>
      <t>(C/A)</t>
    </r>
  </si>
  <si>
    <r>
      <t>* "</t>
    </r>
    <r>
      <rPr>
        <sz val="9"/>
        <color theme="1"/>
        <rFont val="맑은 고딕"/>
        <family val="2"/>
      </rPr>
      <t>스케줄업데이트</t>
    </r>
    <r>
      <rPr>
        <sz val="9"/>
        <color theme="1"/>
        <rFont val="Calibri"/>
        <family val="2"/>
      </rPr>
      <t xml:space="preserve">" </t>
    </r>
    <r>
      <rPr>
        <sz val="9"/>
        <color theme="1"/>
        <rFont val="맑은 고딕"/>
        <family val="2"/>
      </rPr>
      <t>버튼</t>
    </r>
    <r>
      <rPr>
        <sz val="9"/>
        <color theme="1"/>
        <rFont val="Calibri"/>
        <family val="2"/>
      </rPr>
      <t xml:space="preserve"> </t>
    </r>
    <r>
      <rPr>
        <sz val="9"/>
        <color theme="1"/>
        <rFont val="맑은 고딕"/>
        <family val="2"/>
      </rPr>
      <t>클릭</t>
    </r>
    <r>
      <rPr>
        <sz val="9"/>
        <color theme="1"/>
        <rFont val="Calibri"/>
        <family val="2"/>
      </rPr>
      <t xml:space="preserve"> </t>
    </r>
    <r>
      <rPr>
        <sz val="9"/>
        <color theme="1"/>
        <rFont val="맑은 고딕"/>
        <family val="2"/>
      </rPr>
      <t>시</t>
    </r>
    <r>
      <rPr>
        <sz val="9"/>
        <color theme="1"/>
        <rFont val="Calibri"/>
        <family val="2"/>
      </rPr>
      <t xml:space="preserve"> </t>
    </r>
    <r>
      <rPr>
        <sz val="9"/>
        <color theme="1"/>
        <rFont val="맑은 고딕"/>
        <family val="2"/>
      </rPr>
      <t>아래</t>
    </r>
    <r>
      <rPr>
        <sz val="9"/>
        <color theme="1"/>
        <rFont val="Calibri"/>
        <family val="2"/>
      </rPr>
      <t xml:space="preserve"> </t>
    </r>
    <r>
      <rPr>
        <sz val="9"/>
        <color theme="1"/>
        <rFont val="맑은 고딕"/>
        <family val="2"/>
      </rPr>
      <t>항목이</t>
    </r>
    <r>
      <rPr>
        <sz val="9"/>
        <color theme="1"/>
        <rFont val="Calibri"/>
        <family val="2"/>
      </rPr>
      <t xml:space="preserve"> </t>
    </r>
    <r>
      <rPr>
        <sz val="9"/>
        <color theme="1"/>
        <rFont val="맑은 고딕"/>
        <family val="2"/>
      </rPr>
      <t>자동계산됩니다</t>
    </r>
    <r>
      <rPr>
        <sz val="9"/>
        <color theme="1"/>
        <rFont val="Calibri"/>
        <family val="2"/>
      </rPr>
      <t>.</t>
    </r>
  </si>
  <si>
    <r>
      <t xml:space="preserve">* </t>
    </r>
    <r>
      <rPr>
        <sz val="9"/>
        <color theme="1"/>
        <rFont val="맑은 고딕"/>
        <family val="2"/>
      </rPr>
      <t>언어를</t>
    </r>
    <r>
      <rPr>
        <sz val="9"/>
        <color theme="1"/>
        <rFont val="Calibri"/>
        <family val="2"/>
      </rPr>
      <t xml:space="preserve"> </t>
    </r>
    <r>
      <rPr>
        <sz val="9"/>
        <color theme="1"/>
        <rFont val="맑은 고딕"/>
        <family val="2"/>
      </rPr>
      <t>선택하세요</t>
    </r>
  </si>
  <si>
    <r>
      <t xml:space="preserve">* XLGantt </t>
    </r>
    <r>
      <rPr>
        <sz val="9"/>
        <color theme="1"/>
        <rFont val="맑은 고딕"/>
        <family val="2"/>
      </rPr>
      <t>파일이</t>
    </r>
    <r>
      <rPr>
        <sz val="9"/>
        <color theme="1"/>
        <rFont val="Calibri"/>
        <family val="2"/>
      </rPr>
      <t xml:space="preserve"> </t>
    </r>
    <r>
      <rPr>
        <sz val="9"/>
        <color theme="1"/>
        <rFont val="맑은 고딕"/>
        <family val="2"/>
      </rPr>
      <t>아닌</t>
    </r>
    <r>
      <rPr>
        <sz val="9"/>
        <color theme="1"/>
        <rFont val="Calibri"/>
        <family val="2"/>
      </rPr>
      <t xml:space="preserve"> Excel</t>
    </r>
    <r>
      <rPr>
        <sz val="9"/>
        <color theme="1"/>
        <rFont val="맑은 고딕"/>
        <family val="2"/>
      </rPr>
      <t>파일</t>
    </r>
    <r>
      <rPr>
        <sz val="9"/>
        <color theme="1"/>
        <rFont val="Calibri"/>
        <family val="2"/>
      </rPr>
      <t>(1</t>
    </r>
    <r>
      <rPr>
        <sz val="9"/>
        <color theme="1"/>
        <rFont val="맑은 고딕"/>
        <family val="2"/>
      </rPr>
      <t>행은</t>
    </r>
    <r>
      <rPr>
        <sz val="9"/>
        <color theme="1"/>
        <rFont val="Calibri"/>
        <family val="2"/>
      </rPr>
      <t xml:space="preserve"> </t>
    </r>
    <r>
      <rPr>
        <sz val="9"/>
        <color theme="1"/>
        <rFont val="맑은 고딕"/>
        <family val="2"/>
      </rPr>
      <t>제목</t>
    </r>
    <r>
      <rPr>
        <sz val="9"/>
        <color theme="1"/>
        <rFont val="Calibri"/>
        <family val="2"/>
      </rPr>
      <t>, 2</t>
    </r>
    <r>
      <rPr>
        <sz val="9"/>
        <color theme="1"/>
        <rFont val="맑은 고딕"/>
        <family val="2"/>
      </rPr>
      <t>행부터</t>
    </r>
    <r>
      <rPr>
        <sz val="9"/>
        <color theme="1"/>
        <rFont val="Calibri"/>
        <family val="2"/>
      </rPr>
      <t xml:space="preserve"> </t>
    </r>
    <r>
      <rPr>
        <sz val="9"/>
        <color theme="1"/>
        <rFont val="맑은 고딕"/>
        <family val="2"/>
      </rPr>
      <t>내용이</t>
    </r>
    <r>
      <rPr>
        <sz val="9"/>
        <color theme="1"/>
        <rFont val="Calibri"/>
        <family val="2"/>
      </rPr>
      <t xml:space="preserve"> </t>
    </r>
    <r>
      <rPr>
        <sz val="9"/>
        <color theme="1"/>
        <rFont val="맑은 고딕"/>
        <family val="2"/>
      </rPr>
      <t>있는</t>
    </r>
    <r>
      <rPr>
        <sz val="9"/>
        <color theme="1"/>
        <rFont val="Calibri"/>
        <family val="2"/>
      </rPr>
      <t xml:space="preserve"> </t>
    </r>
    <r>
      <rPr>
        <sz val="9"/>
        <color theme="1"/>
        <rFont val="맑은 고딕"/>
        <family val="2"/>
      </rPr>
      <t>파일</t>
    </r>
    <r>
      <rPr>
        <sz val="9"/>
        <color theme="1"/>
        <rFont val="Calibri"/>
        <family val="2"/>
      </rPr>
      <t xml:space="preserve">)\n* </t>
    </r>
    <r>
      <rPr>
        <sz val="9"/>
        <color theme="1"/>
        <rFont val="맑은 고딕"/>
        <family val="2"/>
      </rPr>
      <t>자료갯수</t>
    </r>
    <r>
      <rPr>
        <sz val="9"/>
        <color theme="1"/>
        <rFont val="Calibri"/>
        <family val="2"/>
      </rPr>
      <t xml:space="preserve"> </t>
    </r>
    <r>
      <rPr>
        <sz val="9"/>
        <color theme="1"/>
        <rFont val="맑은 고딕"/>
        <family val="2"/>
      </rPr>
      <t>제한</t>
    </r>
    <r>
      <rPr>
        <sz val="9"/>
        <color theme="1"/>
        <rFont val="Calibri"/>
        <family val="2"/>
      </rPr>
      <t xml:space="preserve"> </t>
    </r>
    <r>
      <rPr>
        <sz val="9"/>
        <color theme="1"/>
        <rFont val="맑은 고딕"/>
        <family val="2"/>
      </rPr>
      <t>없음</t>
    </r>
    <r>
      <rPr>
        <sz val="9"/>
        <color theme="1"/>
        <rFont val="Calibri"/>
        <family val="2"/>
      </rPr>
      <t xml:space="preserve">\n* </t>
    </r>
    <r>
      <rPr>
        <sz val="9"/>
        <color theme="1"/>
        <rFont val="맑은 고딕"/>
        <family val="2"/>
      </rPr>
      <t>한번에</t>
    </r>
    <r>
      <rPr>
        <sz val="9"/>
        <color theme="1"/>
        <rFont val="Calibri"/>
        <family val="2"/>
      </rPr>
      <t xml:space="preserve"> </t>
    </r>
    <r>
      <rPr>
        <sz val="9"/>
        <color theme="1"/>
        <rFont val="맑은 고딕"/>
        <family val="2"/>
      </rPr>
      <t>한개의</t>
    </r>
    <r>
      <rPr>
        <sz val="9"/>
        <color theme="1"/>
        <rFont val="Calibri"/>
        <family val="2"/>
      </rPr>
      <t xml:space="preserve"> </t>
    </r>
    <r>
      <rPr>
        <sz val="9"/>
        <color theme="1"/>
        <rFont val="맑은 고딕"/>
        <family val="2"/>
      </rPr>
      <t>파일만</t>
    </r>
    <r>
      <rPr>
        <sz val="9"/>
        <color theme="1"/>
        <rFont val="Calibri"/>
        <family val="2"/>
      </rPr>
      <t xml:space="preserve"> </t>
    </r>
    <r>
      <rPr>
        <sz val="9"/>
        <color theme="1"/>
        <rFont val="맑은 고딕"/>
        <family val="2"/>
      </rPr>
      <t>처리됨</t>
    </r>
  </si>
  <si>
    <r>
      <t xml:space="preserve">* </t>
    </r>
    <r>
      <rPr>
        <sz val="9"/>
        <color theme="1"/>
        <rFont val="맑은 고딕"/>
        <family val="2"/>
      </rPr>
      <t>주별로</t>
    </r>
    <r>
      <rPr>
        <sz val="9"/>
        <color theme="1"/>
        <rFont val="Calibri"/>
        <family val="2"/>
      </rPr>
      <t xml:space="preserve"> </t>
    </r>
    <r>
      <rPr>
        <sz val="9"/>
        <color theme="1"/>
        <rFont val="맑은 고딕"/>
        <family val="2"/>
      </rPr>
      <t>프로젝트의</t>
    </r>
    <r>
      <rPr>
        <sz val="9"/>
        <color theme="1"/>
        <rFont val="Calibri"/>
        <family val="2"/>
      </rPr>
      <t xml:space="preserve"> </t>
    </r>
    <r>
      <rPr>
        <sz val="9"/>
        <color theme="1"/>
        <rFont val="맑은 고딕"/>
        <family val="2"/>
      </rPr>
      <t>계획진적율을</t>
    </r>
    <r>
      <rPr>
        <sz val="9"/>
        <color theme="1"/>
        <rFont val="Calibri"/>
        <family val="2"/>
      </rPr>
      <t xml:space="preserve"> </t>
    </r>
    <r>
      <rPr>
        <sz val="9"/>
        <color theme="1"/>
        <rFont val="맑은 고딕"/>
        <family val="2"/>
      </rPr>
      <t>보여줍니다</t>
    </r>
    <r>
      <rPr>
        <sz val="9"/>
        <color theme="1"/>
        <rFont val="Calibri"/>
        <family val="2"/>
      </rPr>
      <t>.</t>
    </r>
  </si>
  <si>
    <r>
      <t xml:space="preserve">* </t>
    </r>
    <r>
      <rPr>
        <sz val="9"/>
        <color theme="1"/>
        <rFont val="맑은 고딕"/>
        <family val="2"/>
      </rPr>
      <t>담당별로</t>
    </r>
    <r>
      <rPr>
        <sz val="9"/>
        <color theme="1"/>
        <rFont val="Calibri"/>
        <family val="2"/>
      </rPr>
      <t xml:space="preserve"> </t>
    </r>
    <r>
      <rPr>
        <sz val="9"/>
        <color theme="1"/>
        <rFont val="맑은 고딕"/>
        <family val="2"/>
      </rPr>
      <t>투입된</t>
    </r>
    <r>
      <rPr>
        <sz val="9"/>
        <color theme="1"/>
        <rFont val="Calibri"/>
        <family val="2"/>
      </rPr>
      <t xml:space="preserve"> Task</t>
    </r>
    <r>
      <rPr>
        <sz val="9"/>
        <color theme="1"/>
        <rFont val="맑은 고딕"/>
        <family val="2"/>
      </rPr>
      <t>와</t>
    </r>
    <r>
      <rPr>
        <sz val="9"/>
        <color theme="1"/>
        <rFont val="Calibri"/>
        <family val="2"/>
      </rPr>
      <t xml:space="preserve"> </t>
    </r>
    <r>
      <rPr>
        <sz val="9"/>
        <color theme="1"/>
        <rFont val="맑은 고딕"/>
        <family val="2"/>
      </rPr>
      <t>총작업량</t>
    </r>
    <r>
      <rPr>
        <sz val="9"/>
        <color theme="1"/>
        <rFont val="Calibri"/>
        <family val="2"/>
      </rPr>
      <t xml:space="preserve">, </t>
    </r>
    <r>
      <rPr>
        <sz val="9"/>
        <color theme="1"/>
        <rFont val="맑은 고딕"/>
        <family val="2"/>
      </rPr>
      <t>계획작업량</t>
    </r>
    <r>
      <rPr>
        <sz val="9"/>
        <color theme="1"/>
        <rFont val="Calibri"/>
        <family val="2"/>
      </rPr>
      <t xml:space="preserve">, </t>
    </r>
    <r>
      <rPr>
        <sz val="9"/>
        <color theme="1"/>
        <rFont val="맑은 고딕"/>
        <family val="2"/>
      </rPr>
      <t>진척작업을</t>
    </r>
    <r>
      <rPr>
        <sz val="9"/>
        <color theme="1"/>
        <rFont val="Calibri"/>
        <family val="2"/>
      </rPr>
      <t xml:space="preserve"> Man-day</t>
    </r>
    <r>
      <rPr>
        <sz val="9"/>
        <color theme="1"/>
        <rFont val="맑은 고딕"/>
        <family val="2"/>
      </rPr>
      <t>로</t>
    </r>
    <r>
      <rPr>
        <sz val="9"/>
        <color theme="1"/>
        <rFont val="Calibri"/>
        <family val="2"/>
      </rPr>
      <t xml:space="preserve"> </t>
    </r>
    <r>
      <rPr>
        <sz val="9"/>
        <color theme="1"/>
        <rFont val="맑은 고딕"/>
        <family val="2"/>
      </rPr>
      <t>보여주고</t>
    </r>
    <r>
      <rPr>
        <sz val="9"/>
        <color theme="1"/>
        <rFont val="Calibri"/>
        <family val="2"/>
      </rPr>
      <t xml:space="preserve">, </t>
    </r>
    <r>
      <rPr>
        <sz val="9"/>
        <color theme="1"/>
        <rFont val="맑은 고딕"/>
        <family val="2"/>
      </rPr>
      <t>계획</t>
    </r>
    <r>
      <rPr>
        <sz val="9"/>
        <color theme="1"/>
        <rFont val="Calibri"/>
        <family val="2"/>
      </rPr>
      <t>/</t>
    </r>
    <r>
      <rPr>
        <sz val="9"/>
        <color theme="1"/>
        <rFont val="맑은 고딕"/>
        <family val="2"/>
      </rPr>
      <t>실적</t>
    </r>
    <r>
      <rPr>
        <sz val="9"/>
        <color theme="1"/>
        <rFont val="Calibri"/>
        <family val="2"/>
      </rPr>
      <t xml:space="preserve"> </t>
    </r>
    <r>
      <rPr>
        <sz val="9"/>
        <color theme="1"/>
        <rFont val="맑은 고딕"/>
        <family val="2"/>
      </rPr>
      <t>진행율을</t>
    </r>
    <r>
      <rPr>
        <sz val="9"/>
        <color theme="1"/>
        <rFont val="Calibri"/>
        <family val="2"/>
      </rPr>
      <t xml:space="preserve"> </t>
    </r>
    <r>
      <rPr>
        <sz val="9"/>
        <color theme="1"/>
        <rFont val="맑은 고딕"/>
        <family val="2"/>
      </rPr>
      <t>보여줍니다</t>
    </r>
    <r>
      <rPr>
        <sz val="9"/>
        <color theme="1"/>
        <rFont val="Calibri"/>
        <family val="2"/>
      </rPr>
      <t>.</t>
    </r>
  </si>
  <si>
    <r>
      <t xml:space="preserve">* </t>
    </r>
    <r>
      <rPr>
        <sz val="9"/>
        <color theme="1"/>
        <rFont val="맑은 고딕"/>
        <family val="2"/>
      </rPr>
      <t>담당별</t>
    </r>
    <r>
      <rPr>
        <sz val="9"/>
        <color theme="1"/>
        <rFont val="Calibri"/>
        <family val="2"/>
      </rPr>
      <t xml:space="preserve"> Workload</t>
    </r>
    <r>
      <rPr>
        <sz val="9"/>
        <color theme="1"/>
        <rFont val="맑은 고딕"/>
        <family val="2"/>
      </rPr>
      <t>를</t>
    </r>
    <r>
      <rPr>
        <sz val="9"/>
        <color theme="1"/>
        <rFont val="Calibri"/>
        <family val="2"/>
      </rPr>
      <t xml:space="preserve"> </t>
    </r>
    <r>
      <rPr>
        <sz val="9"/>
        <color theme="1"/>
        <rFont val="맑은 고딕"/>
        <family val="2"/>
      </rPr>
      <t>보여줍니다</t>
    </r>
    <r>
      <rPr>
        <sz val="9"/>
        <color theme="1"/>
        <rFont val="Calibri"/>
        <family val="2"/>
      </rPr>
      <t>.</t>
    </r>
  </si>
  <si>
    <r>
      <t xml:space="preserve">* </t>
    </r>
    <r>
      <rPr>
        <sz val="9"/>
        <color theme="1"/>
        <rFont val="맑은 고딕"/>
        <family val="2"/>
      </rPr>
      <t>주별</t>
    </r>
    <r>
      <rPr>
        <sz val="9"/>
        <color theme="1"/>
        <rFont val="Calibri"/>
        <family val="2"/>
      </rPr>
      <t xml:space="preserve"> </t>
    </r>
    <r>
      <rPr>
        <sz val="9"/>
        <color theme="1"/>
        <rFont val="맑은 고딕"/>
        <family val="2"/>
      </rPr>
      <t>또는</t>
    </r>
    <r>
      <rPr>
        <sz val="9"/>
        <color theme="1"/>
        <rFont val="Calibri"/>
        <family val="2"/>
      </rPr>
      <t xml:space="preserve"> </t>
    </r>
    <r>
      <rPr>
        <sz val="9"/>
        <color theme="1"/>
        <rFont val="맑은 고딕"/>
        <family val="2"/>
      </rPr>
      <t>월별</t>
    </r>
    <r>
      <rPr>
        <sz val="9"/>
        <color theme="1"/>
        <rFont val="Calibri"/>
        <family val="2"/>
      </rPr>
      <t xml:space="preserve"> Workload</t>
    </r>
    <r>
      <rPr>
        <sz val="9"/>
        <color theme="1"/>
        <rFont val="맑은 고딕"/>
        <family val="2"/>
      </rPr>
      <t>를</t>
    </r>
    <r>
      <rPr>
        <sz val="9"/>
        <color theme="1"/>
        <rFont val="Calibri"/>
        <family val="2"/>
      </rPr>
      <t xml:space="preserve"> </t>
    </r>
    <r>
      <rPr>
        <sz val="9"/>
        <color theme="1"/>
        <rFont val="맑은 고딕"/>
        <family val="2"/>
      </rPr>
      <t>보여줍니다</t>
    </r>
    <r>
      <rPr>
        <sz val="9"/>
        <color theme="1"/>
        <rFont val="Calibri"/>
        <family val="2"/>
      </rPr>
      <t>.</t>
    </r>
  </si>
  <si>
    <r>
      <t xml:space="preserve">* </t>
    </r>
    <r>
      <rPr>
        <sz val="9"/>
        <color theme="1"/>
        <rFont val="맑은 고딕"/>
        <family val="2"/>
      </rPr>
      <t>프로젝트</t>
    </r>
    <r>
      <rPr>
        <sz val="9"/>
        <color theme="1"/>
        <rFont val="Calibri"/>
        <family val="2"/>
      </rPr>
      <t xml:space="preserve"> </t>
    </r>
    <r>
      <rPr>
        <sz val="9"/>
        <color theme="1"/>
        <rFont val="맑은 고딕"/>
        <family val="2"/>
      </rPr>
      <t>작업량과</t>
    </r>
    <r>
      <rPr>
        <sz val="9"/>
        <color theme="1"/>
        <rFont val="Calibri"/>
        <family val="2"/>
      </rPr>
      <t xml:space="preserve"> </t>
    </r>
    <r>
      <rPr>
        <sz val="9"/>
        <color theme="1"/>
        <rFont val="맑은 고딕"/>
        <family val="2"/>
      </rPr>
      <t>진척율을</t>
    </r>
    <r>
      <rPr>
        <sz val="9"/>
        <color theme="1"/>
        <rFont val="Calibri"/>
        <family val="2"/>
      </rPr>
      <t xml:space="preserve"> </t>
    </r>
    <r>
      <rPr>
        <sz val="9"/>
        <color theme="1"/>
        <rFont val="맑은 고딕"/>
        <family val="2"/>
      </rPr>
      <t>보여줍니다</t>
    </r>
    <r>
      <rPr>
        <sz val="9"/>
        <color theme="1"/>
        <rFont val="Calibri"/>
        <family val="2"/>
      </rPr>
      <t>.</t>
    </r>
  </si>
  <si>
    <r>
      <t>* "</t>
    </r>
    <r>
      <rPr>
        <sz val="9"/>
        <color theme="1"/>
        <rFont val="맑은 고딕"/>
        <family val="2"/>
      </rPr>
      <t>계획진척율</t>
    </r>
    <r>
      <rPr>
        <sz val="9"/>
        <color theme="1"/>
        <rFont val="Calibri"/>
        <family val="2"/>
      </rPr>
      <t xml:space="preserve">" </t>
    </r>
    <r>
      <rPr>
        <sz val="9"/>
        <color theme="1"/>
        <rFont val="맑은 고딕"/>
        <family val="2"/>
      </rPr>
      <t>메뉴를</t>
    </r>
    <r>
      <rPr>
        <sz val="9"/>
        <color theme="1"/>
        <rFont val="Calibri"/>
        <family val="2"/>
      </rPr>
      <t xml:space="preserve"> </t>
    </r>
    <r>
      <rPr>
        <sz val="9"/>
        <color theme="1"/>
        <rFont val="맑은 고딕"/>
        <family val="2"/>
      </rPr>
      <t>클릭해야</t>
    </r>
    <r>
      <rPr>
        <sz val="9"/>
        <color theme="1"/>
        <rFont val="Calibri"/>
        <family val="2"/>
      </rPr>
      <t xml:space="preserve"> </t>
    </r>
    <r>
      <rPr>
        <sz val="9"/>
        <color theme="1"/>
        <rFont val="맑은 고딕"/>
        <family val="2"/>
      </rPr>
      <t>갱신됨</t>
    </r>
  </si>
  <si>
    <r>
      <t>* "</t>
    </r>
    <r>
      <rPr>
        <sz val="9"/>
        <color theme="1"/>
        <rFont val="맑은 고딕"/>
        <family val="2"/>
      </rPr>
      <t>담당별진행율</t>
    </r>
    <r>
      <rPr>
        <sz val="9"/>
        <color theme="1"/>
        <rFont val="Calibri"/>
        <family val="2"/>
      </rPr>
      <t xml:space="preserve">" </t>
    </r>
    <r>
      <rPr>
        <sz val="9"/>
        <color theme="1"/>
        <rFont val="맑은 고딕"/>
        <family val="2"/>
      </rPr>
      <t>메뉴를</t>
    </r>
    <r>
      <rPr>
        <sz val="9"/>
        <color theme="1"/>
        <rFont val="Calibri"/>
        <family val="2"/>
      </rPr>
      <t xml:space="preserve"> </t>
    </r>
    <r>
      <rPr>
        <sz val="9"/>
        <color theme="1"/>
        <rFont val="맑은 고딕"/>
        <family val="2"/>
      </rPr>
      <t>클릭해야</t>
    </r>
    <r>
      <rPr>
        <sz val="9"/>
        <color theme="1"/>
        <rFont val="Calibri"/>
        <family val="2"/>
      </rPr>
      <t xml:space="preserve"> </t>
    </r>
    <r>
      <rPr>
        <sz val="9"/>
        <color theme="1"/>
        <rFont val="맑은 고딕"/>
        <family val="2"/>
      </rPr>
      <t>내용이</t>
    </r>
    <r>
      <rPr>
        <sz val="9"/>
        <color theme="1"/>
        <rFont val="Calibri"/>
        <family val="2"/>
      </rPr>
      <t xml:space="preserve"> </t>
    </r>
    <r>
      <rPr>
        <sz val="9"/>
        <color theme="1"/>
        <rFont val="맑은 고딕"/>
        <family val="2"/>
      </rPr>
      <t>갱신됩니다</t>
    </r>
    <r>
      <rPr>
        <sz val="9"/>
        <color theme="1"/>
        <rFont val="Calibri"/>
        <family val="2"/>
      </rPr>
      <t>.</t>
    </r>
  </si>
  <si>
    <r>
      <t>* "Workload(</t>
    </r>
    <r>
      <rPr>
        <sz val="9"/>
        <color theme="1"/>
        <rFont val="맑은 고딕"/>
        <family val="2"/>
      </rPr>
      <t>담당별</t>
    </r>
    <r>
      <rPr>
        <sz val="9"/>
        <color theme="1"/>
        <rFont val="Calibri"/>
        <family val="2"/>
      </rPr>
      <t xml:space="preserve">)" </t>
    </r>
    <r>
      <rPr>
        <sz val="9"/>
        <color theme="1"/>
        <rFont val="맑은 고딕"/>
        <family val="2"/>
      </rPr>
      <t>메뉴를</t>
    </r>
    <r>
      <rPr>
        <sz val="9"/>
        <color theme="1"/>
        <rFont val="Calibri"/>
        <family val="2"/>
      </rPr>
      <t xml:space="preserve"> </t>
    </r>
    <r>
      <rPr>
        <sz val="9"/>
        <color theme="1"/>
        <rFont val="맑은 고딕"/>
        <family val="2"/>
      </rPr>
      <t>클릭해야</t>
    </r>
    <r>
      <rPr>
        <sz val="9"/>
        <color theme="1"/>
        <rFont val="Calibri"/>
        <family val="2"/>
      </rPr>
      <t xml:space="preserve"> </t>
    </r>
    <r>
      <rPr>
        <sz val="9"/>
        <color theme="1"/>
        <rFont val="맑은 고딕"/>
        <family val="2"/>
      </rPr>
      <t>내용이</t>
    </r>
    <r>
      <rPr>
        <sz val="9"/>
        <color theme="1"/>
        <rFont val="Calibri"/>
        <family val="2"/>
      </rPr>
      <t xml:space="preserve"> </t>
    </r>
    <r>
      <rPr>
        <sz val="9"/>
        <color theme="1"/>
        <rFont val="맑은 고딕"/>
        <family val="2"/>
      </rPr>
      <t>갱신됩니다</t>
    </r>
    <r>
      <rPr>
        <sz val="9"/>
        <color theme="1"/>
        <rFont val="Calibri"/>
        <family val="2"/>
      </rPr>
      <t>.</t>
    </r>
  </si>
  <si>
    <r>
      <t>* "Workload(</t>
    </r>
    <r>
      <rPr>
        <sz val="9"/>
        <color theme="1"/>
        <rFont val="맑은 고딕"/>
        <family val="2"/>
      </rPr>
      <t>주별</t>
    </r>
    <r>
      <rPr>
        <sz val="9"/>
        <color theme="1"/>
        <rFont val="Calibri"/>
        <family val="2"/>
      </rPr>
      <t xml:space="preserve">)" </t>
    </r>
    <r>
      <rPr>
        <sz val="9"/>
        <color theme="1"/>
        <rFont val="맑은 고딕"/>
        <family val="2"/>
      </rPr>
      <t>또는</t>
    </r>
    <r>
      <rPr>
        <sz val="9"/>
        <color theme="1"/>
        <rFont val="Calibri"/>
        <family val="2"/>
      </rPr>
      <t xml:space="preserve"> "Workload(</t>
    </r>
    <r>
      <rPr>
        <sz val="9"/>
        <color theme="1"/>
        <rFont val="맑은 고딕"/>
        <family val="2"/>
      </rPr>
      <t>월별</t>
    </r>
    <r>
      <rPr>
        <sz val="9"/>
        <color theme="1"/>
        <rFont val="Calibri"/>
        <family val="2"/>
      </rPr>
      <t xml:space="preserve">)" </t>
    </r>
    <r>
      <rPr>
        <sz val="9"/>
        <color theme="1"/>
        <rFont val="맑은 고딕"/>
        <family val="2"/>
      </rPr>
      <t>메뉴를</t>
    </r>
    <r>
      <rPr>
        <sz val="9"/>
        <color theme="1"/>
        <rFont val="Calibri"/>
        <family val="2"/>
      </rPr>
      <t xml:space="preserve"> </t>
    </r>
    <r>
      <rPr>
        <sz val="9"/>
        <color theme="1"/>
        <rFont val="맑은 고딕"/>
        <family val="2"/>
      </rPr>
      <t>클릭해야</t>
    </r>
    <r>
      <rPr>
        <sz val="9"/>
        <color theme="1"/>
        <rFont val="Calibri"/>
        <family val="2"/>
      </rPr>
      <t xml:space="preserve"> </t>
    </r>
    <r>
      <rPr>
        <sz val="9"/>
        <color theme="1"/>
        <rFont val="맑은 고딕"/>
        <family val="2"/>
      </rPr>
      <t>내용이</t>
    </r>
    <r>
      <rPr>
        <sz val="9"/>
        <color theme="1"/>
        <rFont val="Calibri"/>
        <family val="2"/>
      </rPr>
      <t xml:space="preserve"> </t>
    </r>
    <r>
      <rPr>
        <sz val="9"/>
        <color theme="1"/>
        <rFont val="맑은 고딕"/>
        <family val="2"/>
      </rPr>
      <t>갱신됩니다</t>
    </r>
    <r>
      <rPr>
        <sz val="9"/>
        <color theme="1"/>
        <rFont val="Calibri"/>
        <family val="2"/>
      </rPr>
      <t>.</t>
    </r>
  </si>
  <si>
    <r>
      <t>[</t>
    </r>
    <r>
      <rPr>
        <sz val="9"/>
        <color theme="1"/>
        <rFont val="맑은 고딕"/>
        <family val="2"/>
      </rPr>
      <t>담당자미지정</t>
    </r>
    <r>
      <rPr>
        <sz val="9"/>
        <color theme="1"/>
        <rFont val="Calibri"/>
        <family val="2"/>
      </rPr>
      <t>]</t>
    </r>
  </si>
  <si>
    <r>
      <t>Outlook</t>
    </r>
    <r>
      <rPr>
        <sz val="9"/>
        <color theme="1"/>
        <rFont val="맑은 고딕"/>
        <family val="2"/>
      </rPr>
      <t>일정이</t>
    </r>
    <r>
      <rPr>
        <sz val="9"/>
        <color theme="1"/>
        <rFont val="Calibri"/>
        <family val="2"/>
      </rPr>
      <t xml:space="preserve"> {}</t>
    </r>
    <r>
      <rPr>
        <sz val="9"/>
        <color theme="1"/>
        <rFont val="맑은 고딕"/>
        <family val="2"/>
      </rPr>
      <t>건</t>
    </r>
    <r>
      <rPr>
        <sz val="9"/>
        <color theme="1"/>
        <rFont val="Calibri"/>
        <family val="2"/>
      </rPr>
      <t xml:space="preserve"> </t>
    </r>
    <r>
      <rPr>
        <sz val="9"/>
        <color theme="1"/>
        <rFont val="맑은 고딕"/>
        <family val="2"/>
      </rPr>
      <t>등록되었습니다</t>
    </r>
    <r>
      <rPr>
        <sz val="9"/>
        <color theme="1"/>
        <rFont val="Calibri"/>
        <family val="2"/>
      </rPr>
      <t>.</t>
    </r>
  </si>
  <si>
    <r>
      <t>Outlook</t>
    </r>
    <r>
      <rPr>
        <sz val="9"/>
        <color theme="1"/>
        <rFont val="맑은 고딕"/>
        <family val="2"/>
      </rPr>
      <t>작업이</t>
    </r>
    <r>
      <rPr>
        <sz val="9"/>
        <color theme="1"/>
        <rFont val="Calibri"/>
        <family val="2"/>
      </rPr>
      <t xml:space="preserve"> {}</t>
    </r>
    <r>
      <rPr>
        <sz val="9"/>
        <color theme="1"/>
        <rFont val="맑은 고딕"/>
        <family val="2"/>
      </rPr>
      <t>건</t>
    </r>
    <r>
      <rPr>
        <sz val="9"/>
        <color theme="1"/>
        <rFont val="Calibri"/>
        <family val="2"/>
      </rPr>
      <t xml:space="preserve"> </t>
    </r>
    <r>
      <rPr>
        <sz val="9"/>
        <color theme="1"/>
        <rFont val="맑은 고딕"/>
        <family val="2"/>
      </rPr>
      <t>등록되었습니다</t>
    </r>
    <r>
      <rPr>
        <sz val="9"/>
        <color theme="1"/>
        <rFont val="Calibri"/>
        <family val="2"/>
      </rPr>
      <t>.</t>
    </r>
  </si>
  <si>
    <r>
      <t xml:space="preserve">{} </t>
    </r>
    <r>
      <rPr>
        <sz val="9"/>
        <color theme="1"/>
        <rFont val="맑은 고딕"/>
        <family val="2"/>
      </rPr>
      <t>파일이</t>
    </r>
    <r>
      <rPr>
        <sz val="9"/>
        <color theme="1"/>
        <rFont val="Calibri"/>
        <family val="2"/>
      </rPr>
      <t xml:space="preserve"> </t>
    </r>
    <r>
      <rPr>
        <sz val="9"/>
        <color theme="1"/>
        <rFont val="맑은 고딕"/>
        <family val="2"/>
      </rPr>
      <t>존재하지</t>
    </r>
    <r>
      <rPr>
        <sz val="9"/>
        <color theme="1"/>
        <rFont val="Calibri"/>
        <family val="2"/>
      </rPr>
      <t xml:space="preserve"> </t>
    </r>
    <r>
      <rPr>
        <sz val="9"/>
        <color theme="1"/>
        <rFont val="맑은 고딕"/>
        <family val="2"/>
      </rPr>
      <t>않습니다</t>
    </r>
  </si>
  <si>
    <r>
      <rPr>
        <sz val="9"/>
        <color theme="1"/>
        <rFont val="맑은 고딕"/>
        <family val="2"/>
      </rPr>
      <t>누적</t>
    </r>
    <r>
      <rPr>
        <sz val="9"/>
        <color theme="1"/>
        <rFont val="Calibri"/>
        <family val="2"/>
      </rPr>
      <t>\nMan-Day</t>
    </r>
  </si>
  <si>
    <r>
      <rPr>
        <sz val="9"/>
        <color theme="1"/>
        <rFont val="맑은 고딕"/>
        <family val="2"/>
      </rPr>
      <t>실적진척율에</t>
    </r>
    <r>
      <rPr>
        <sz val="9"/>
        <color theme="1"/>
        <rFont val="Calibri"/>
        <family val="2"/>
      </rPr>
      <t xml:space="preserve"> </t>
    </r>
    <r>
      <rPr>
        <sz val="9"/>
        <color theme="1"/>
        <rFont val="맑은 고딕"/>
        <family val="2"/>
      </rPr>
      <t>숫자가</t>
    </r>
    <r>
      <rPr>
        <sz val="9"/>
        <color theme="1"/>
        <rFont val="Calibri"/>
        <family val="2"/>
      </rPr>
      <t xml:space="preserve"> </t>
    </r>
    <r>
      <rPr>
        <sz val="9"/>
        <color theme="1"/>
        <rFont val="맑은 고딕"/>
        <family val="2"/>
      </rPr>
      <t>아닌</t>
    </r>
    <r>
      <rPr>
        <sz val="9"/>
        <color theme="1"/>
        <rFont val="Calibri"/>
        <family val="2"/>
      </rPr>
      <t xml:space="preserve"> </t>
    </r>
    <r>
      <rPr>
        <sz val="9"/>
        <color theme="1"/>
        <rFont val="맑은 고딕"/>
        <family val="2"/>
      </rPr>
      <t>값이</t>
    </r>
    <r>
      <rPr>
        <sz val="9"/>
        <color theme="1"/>
        <rFont val="Calibri"/>
        <family val="2"/>
      </rPr>
      <t xml:space="preserve"> </t>
    </r>
    <r>
      <rPr>
        <sz val="9"/>
        <color theme="1"/>
        <rFont val="맑은 고딕"/>
        <family val="2"/>
      </rPr>
      <t>포함되어</t>
    </r>
    <r>
      <rPr>
        <sz val="9"/>
        <color theme="1"/>
        <rFont val="Calibri"/>
        <family val="2"/>
      </rPr>
      <t xml:space="preserve"> </t>
    </r>
    <r>
      <rPr>
        <sz val="9"/>
        <color theme="1"/>
        <rFont val="맑은 고딕"/>
        <family val="2"/>
      </rPr>
      <t>있습니다</t>
    </r>
    <r>
      <rPr>
        <sz val="9"/>
        <color theme="1"/>
        <rFont val="Calibri"/>
        <family val="2"/>
      </rPr>
      <t>. Import</t>
    </r>
    <r>
      <rPr>
        <sz val="9"/>
        <color theme="1"/>
        <rFont val="맑은 고딕"/>
        <family val="2"/>
      </rPr>
      <t>하는</t>
    </r>
    <r>
      <rPr>
        <sz val="9"/>
        <color theme="1"/>
        <rFont val="Calibri"/>
        <family val="2"/>
      </rPr>
      <t xml:space="preserve"> </t>
    </r>
    <r>
      <rPr>
        <sz val="9"/>
        <color theme="1"/>
        <rFont val="맑은 고딕"/>
        <family val="2"/>
      </rPr>
      <t>파일의</t>
    </r>
    <r>
      <rPr>
        <sz val="9"/>
        <color theme="1"/>
        <rFont val="Calibri"/>
        <family val="2"/>
      </rPr>
      <t xml:space="preserve"> {}</t>
    </r>
    <r>
      <rPr>
        <sz val="9"/>
        <color theme="1"/>
        <rFont val="맑은 고딕"/>
        <family val="2"/>
      </rPr>
      <t>행을</t>
    </r>
    <r>
      <rPr>
        <sz val="9"/>
        <color theme="1"/>
        <rFont val="Calibri"/>
        <family val="2"/>
      </rPr>
      <t xml:space="preserve"> </t>
    </r>
    <r>
      <rPr>
        <sz val="9"/>
        <color theme="1"/>
        <rFont val="맑은 고딕"/>
        <family val="2"/>
      </rPr>
      <t>확인하세요</t>
    </r>
    <r>
      <rPr>
        <sz val="9"/>
        <color theme="1"/>
        <rFont val="Calibri"/>
        <family val="2"/>
      </rPr>
      <t>.</t>
    </r>
  </si>
  <si>
    <r>
      <rPr>
        <sz val="9"/>
        <color theme="1"/>
        <rFont val="맑은 고딕"/>
        <family val="2"/>
      </rPr>
      <t>현재날짜까지</t>
    </r>
    <r>
      <rPr>
        <sz val="9"/>
        <color theme="1"/>
        <rFont val="Calibri"/>
        <family val="2"/>
      </rPr>
      <t xml:space="preserve"> </t>
    </r>
    <r>
      <rPr>
        <sz val="9"/>
        <color theme="1"/>
        <rFont val="맑은 고딕"/>
        <family val="2"/>
      </rPr>
      <t>실제로</t>
    </r>
    <r>
      <rPr>
        <sz val="9"/>
        <color theme="1"/>
        <rFont val="Calibri"/>
        <family val="2"/>
      </rPr>
      <t xml:space="preserve"> </t>
    </r>
    <r>
      <rPr>
        <sz val="9"/>
        <color theme="1"/>
        <rFont val="맑은 고딕"/>
        <family val="2"/>
      </rPr>
      <t>진행된</t>
    </r>
    <r>
      <rPr>
        <sz val="9"/>
        <color theme="1"/>
        <rFont val="Calibri"/>
        <family val="2"/>
      </rPr>
      <t xml:space="preserve"> </t>
    </r>
    <r>
      <rPr>
        <sz val="9"/>
        <color theme="1"/>
        <rFont val="맑은 고딕"/>
        <family val="2"/>
      </rPr>
      <t>진척율</t>
    </r>
    <r>
      <rPr>
        <sz val="9"/>
        <color theme="1"/>
        <rFont val="Calibri"/>
        <family val="2"/>
      </rPr>
      <t>, WBS</t>
    </r>
    <r>
      <rPr>
        <sz val="9"/>
        <color theme="1"/>
        <rFont val="맑은 고딕"/>
        <family val="2"/>
      </rPr>
      <t>의</t>
    </r>
    <r>
      <rPr>
        <sz val="9"/>
        <color theme="1"/>
        <rFont val="Calibri"/>
        <family val="2"/>
      </rPr>
      <t xml:space="preserve"> "</t>
    </r>
    <r>
      <rPr>
        <sz val="9"/>
        <color theme="1"/>
        <rFont val="맑은 고딕"/>
        <family val="2"/>
      </rPr>
      <t>실적진척율</t>
    </r>
    <r>
      <rPr>
        <sz val="9"/>
        <color theme="1"/>
        <rFont val="Calibri"/>
        <family val="2"/>
      </rPr>
      <t>"</t>
    </r>
    <r>
      <rPr>
        <sz val="9"/>
        <color theme="1"/>
        <rFont val="맑은 고딕"/>
        <family val="2"/>
      </rPr>
      <t>의</t>
    </r>
    <r>
      <rPr>
        <sz val="9"/>
        <color theme="1"/>
        <rFont val="Calibri"/>
        <family val="2"/>
      </rPr>
      <t xml:space="preserve"> </t>
    </r>
    <r>
      <rPr>
        <sz val="9"/>
        <color theme="1"/>
        <rFont val="맑은 고딕"/>
        <family val="2"/>
      </rPr>
      <t>전체</t>
    </r>
    <r>
      <rPr>
        <sz val="9"/>
        <color theme="1"/>
        <rFont val="Calibri"/>
        <family val="2"/>
      </rPr>
      <t xml:space="preserve"> </t>
    </r>
    <r>
      <rPr>
        <sz val="9"/>
        <color theme="1"/>
        <rFont val="맑은 고딕"/>
        <family val="2"/>
      </rPr>
      <t>합계</t>
    </r>
    <r>
      <rPr>
        <sz val="9"/>
        <color theme="1"/>
        <rFont val="Calibri"/>
        <family val="2"/>
      </rPr>
      <t xml:space="preserve"> </t>
    </r>
    <r>
      <rPr>
        <sz val="9"/>
        <color theme="1"/>
        <rFont val="맑은 고딕"/>
        <family val="2"/>
      </rPr>
      <t>진척율을</t>
    </r>
    <r>
      <rPr>
        <sz val="9"/>
        <color theme="1"/>
        <rFont val="Calibri"/>
        <family val="2"/>
      </rPr>
      <t xml:space="preserve"> </t>
    </r>
    <r>
      <rPr>
        <sz val="9"/>
        <color theme="1"/>
        <rFont val="맑은 고딕"/>
        <family val="2"/>
      </rPr>
      <t>표시함</t>
    </r>
  </si>
  <si>
    <r>
      <rPr>
        <sz val="9"/>
        <color theme="1"/>
        <rFont val="맑은 고딕"/>
        <family val="2"/>
      </rPr>
      <t>각</t>
    </r>
    <r>
      <rPr>
        <sz val="9"/>
        <color theme="1"/>
        <rFont val="Calibri"/>
        <family val="2"/>
      </rPr>
      <t xml:space="preserve"> </t>
    </r>
    <r>
      <rPr>
        <sz val="9"/>
        <color theme="1"/>
        <rFont val="맑은 고딕"/>
        <family val="2"/>
      </rPr>
      <t>작업의</t>
    </r>
    <r>
      <rPr>
        <sz val="9"/>
        <color theme="1"/>
        <rFont val="Calibri"/>
        <family val="2"/>
      </rPr>
      <t xml:space="preserve"> </t>
    </r>
    <r>
      <rPr>
        <sz val="9"/>
        <color theme="1"/>
        <rFont val="맑은 고딕"/>
        <family val="2"/>
      </rPr>
      <t>실제완료일</t>
    </r>
    <r>
      <rPr>
        <sz val="9"/>
        <color theme="1"/>
        <rFont val="Calibri"/>
        <family val="2"/>
      </rPr>
      <t>(</t>
    </r>
    <r>
      <rPr>
        <sz val="9"/>
        <color theme="1"/>
        <rFont val="맑은 고딕"/>
        <family val="2"/>
      </rPr>
      <t>또는</t>
    </r>
    <r>
      <rPr>
        <sz val="9"/>
        <color theme="1"/>
        <rFont val="Calibri"/>
        <family val="2"/>
      </rPr>
      <t xml:space="preserve"> </t>
    </r>
    <r>
      <rPr>
        <sz val="9"/>
        <color theme="1"/>
        <rFont val="맑은 고딕"/>
        <family val="2"/>
      </rPr>
      <t>실제종료일</t>
    </r>
    <r>
      <rPr>
        <sz val="9"/>
        <color theme="1"/>
        <rFont val="Calibri"/>
        <family val="2"/>
      </rPr>
      <t>)</t>
    </r>
    <r>
      <rPr>
        <sz val="9"/>
        <color theme="1"/>
        <rFont val="맑은 고딕"/>
        <family val="2"/>
      </rPr>
      <t>을</t>
    </r>
    <r>
      <rPr>
        <sz val="9"/>
        <color theme="1"/>
        <rFont val="Calibri"/>
        <family val="2"/>
      </rPr>
      <t xml:space="preserve"> </t>
    </r>
    <r>
      <rPr>
        <sz val="9"/>
        <color theme="1"/>
        <rFont val="맑은 고딕"/>
        <family val="2"/>
      </rPr>
      <t>표시합니다</t>
    </r>
    <r>
      <rPr>
        <sz val="9"/>
        <color theme="1"/>
        <rFont val="Calibri"/>
        <family val="2"/>
      </rPr>
      <t xml:space="preserve">. </t>
    </r>
    <r>
      <rPr>
        <sz val="9"/>
        <color theme="1"/>
        <rFont val="맑은 고딕"/>
        <family val="2"/>
      </rPr>
      <t>반드시</t>
    </r>
    <r>
      <rPr>
        <sz val="9"/>
        <color theme="1"/>
        <rFont val="Calibri"/>
        <family val="2"/>
      </rPr>
      <t xml:space="preserve"> </t>
    </r>
    <r>
      <rPr>
        <sz val="9"/>
        <color theme="1"/>
        <rFont val="맑은 고딕"/>
        <family val="2"/>
      </rPr>
      <t>날짜</t>
    </r>
    <r>
      <rPr>
        <sz val="9"/>
        <color theme="1"/>
        <rFont val="Calibri"/>
        <family val="2"/>
      </rPr>
      <t xml:space="preserve"> </t>
    </r>
    <r>
      <rPr>
        <sz val="9"/>
        <color theme="1"/>
        <rFont val="맑은 고딕"/>
        <family val="2"/>
      </rPr>
      <t>형식이어야</t>
    </r>
    <r>
      <rPr>
        <sz val="9"/>
        <color theme="1"/>
        <rFont val="Calibri"/>
        <family val="2"/>
      </rPr>
      <t xml:space="preserve"> </t>
    </r>
    <r>
      <rPr>
        <sz val="9"/>
        <color theme="1"/>
        <rFont val="맑은 고딕"/>
        <family val="2"/>
      </rPr>
      <t>합니다</t>
    </r>
    <r>
      <rPr>
        <sz val="9"/>
        <color theme="1"/>
        <rFont val="Calibri"/>
        <family val="2"/>
      </rPr>
      <t>.</t>
    </r>
  </si>
  <si>
    <r>
      <rPr>
        <sz val="9"/>
        <color theme="1"/>
        <rFont val="맑은 고딕"/>
        <family val="2"/>
      </rPr>
      <t>실제완료일의</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잘못되었습니다</t>
    </r>
    <r>
      <rPr>
        <sz val="9"/>
        <color theme="1"/>
        <rFont val="Calibri"/>
        <family val="2"/>
      </rPr>
      <t>.</t>
    </r>
  </si>
  <si>
    <r>
      <rPr>
        <sz val="9"/>
        <color theme="1"/>
        <rFont val="맑은 고딕"/>
        <family val="2"/>
      </rPr>
      <t>실제완료일자에</t>
    </r>
    <r>
      <rPr>
        <sz val="9"/>
        <color theme="1"/>
        <rFont val="Calibri"/>
        <family val="2"/>
      </rPr>
      <t xml:space="preserve"> </t>
    </r>
    <r>
      <rPr>
        <sz val="9"/>
        <color theme="1"/>
        <rFont val="맑은 고딕"/>
        <family val="2"/>
      </rPr>
      <t>날짜가</t>
    </r>
    <r>
      <rPr>
        <sz val="9"/>
        <color theme="1"/>
        <rFont val="Calibri"/>
        <family val="2"/>
      </rPr>
      <t xml:space="preserve"> </t>
    </r>
    <r>
      <rPr>
        <sz val="9"/>
        <color theme="1"/>
        <rFont val="맑은 고딕"/>
        <family val="2"/>
      </rPr>
      <t>아닌</t>
    </r>
    <r>
      <rPr>
        <sz val="9"/>
        <color theme="1"/>
        <rFont val="Calibri"/>
        <family val="2"/>
      </rPr>
      <t xml:space="preserve"> </t>
    </r>
    <r>
      <rPr>
        <sz val="9"/>
        <color theme="1"/>
        <rFont val="맑은 고딕"/>
        <family val="2"/>
      </rPr>
      <t>값이</t>
    </r>
    <r>
      <rPr>
        <sz val="9"/>
        <color theme="1"/>
        <rFont val="Calibri"/>
        <family val="2"/>
      </rPr>
      <t xml:space="preserve"> </t>
    </r>
    <r>
      <rPr>
        <sz val="9"/>
        <color theme="1"/>
        <rFont val="맑은 고딕"/>
        <family val="2"/>
      </rPr>
      <t>포함되어</t>
    </r>
    <r>
      <rPr>
        <sz val="9"/>
        <color theme="1"/>
        <rFont val="Calibri"/>
        <family val="2"/>
      </rPr>
      <t xml:space="preserve"> </t>
    </r>
    <r>
      <rPr>
        <sz val="9"/>
        <color theme="1"/>
        <rFont val="맑은 고딕"/>
        <family val="2"/>
      </rPr>
      <t>있습니다</t>
    </r>
    <r>
      <rPr>
        <sz val="9"/>
        <color theme="1"/>
        <rFont val="Calibri"/>
        <family val="2"/>
      </rPr>
      <t>. Import</t>
    </r>
    <r>
      <rPr>
        <sz val="9"/>
        <color theme="1"/>
        <rFont val="맑은 고딕"/>
        <family val="2"/>
      </rPr>
      <t>하는</t>
    </r>
    <r>
      <rPr>
        <sz val="9"/>
        <color theme="1"/>
        <rFont val="Calibri"/>
        <family val="2"/>
      </rPr>
      <t xml:space="preserve"> </t>
    </r>
    <r>
      <rPr>
        <sz val="9"/>
        <color theme="1"/>
        <rFont val="맑은 고딕"/>
        <family val="2"/>
      </rPr>
      <t>파일의</t>
    </r>
    <r>
      <rPr>
        <sz val="9"/>
        <color theme="1"/>
        <rFont val="Calibri"/>
        <family val="2"/>
      </rPr>
      <t xml:space="preserve"> {}</t>
    </r>
    <r>
      <rPr>
        <sz val="9"/>
        <color theme="1"/>
        <rFont val="맑은 고딕"/>
        <family val="2"/>
      </rPr>
      <t>행을</t>
    </r>
    <r>
      <rPr>
        <sz val="9"/>
        <color theme="1"/>
        <rFont val="Calibri"/>
        <family val="2"/>
      </rPr>
      <t xml:space="preserve"> </t>
    </r>
    <r>
      <rPr>
        <sz val="9"/>
        <color theme="1"/>
        <rFont val="맑은 고딕"/>
        <family val="2"/>
      </rPr>
      <t>확인하세요</t>
    </r>
    <r>
      <rPr>
        <sz val="9"/>
        <color theme="1"/>
        <rFont val="Calibri"/>
        <family val="2"/>
      </rPr>
      <t>.</t>
    </r>
  </si>
  <si>
    <r>
      <rPr>
        <sz val="9"/>
        <color theme="1"/>
        <rFont val="맑은 고딕"/>
        <family val="2"/>
      </rPr>
      <t>실제진척율</t>
    </r>
    <r>
      <rPr>
        <sz val="9"/>
        <color theme="1"/>
        <rFont val="Calibri"/>
        <family val="2"/>
      </rPr>
      <t xml:space="preserve"> </t>
    </r>
    <r>
      <rPr>
        <sz val="9"/>
        <color theme="1"/>
        <rFont val="맑은 고딕"/>
        <family val="2"/>
      </rPr>
      <t>필드입니다</t>
    </r>
    <r>
      <rPr>
        <sz val="9"/>
        <color theme="1"/>
        <rFont val="Calibri"/>
        <family val="2"/>
      </rPr>
      <t xml:space="preserve">. </t>
    </r>
    <r>
      <rPr>
        <sz val="9"/>
        <color theme="1"/>
        <rFont val="맑은 고딕"/>
        <family val="2"/>
      </rPr>
      <t>현재까지</t>
    </r>
    <r>
      <rPr>
        <sz val="9"/>
        <color theme="1"/>
        <rFont val="Calibri"/>
        <family val="2"/>
      </rPr>
      <t xml:space="preserve"> </t>
    </r>
    <r>
      <rPr>
        <sz val="9"/>
        <color theme="1"/>
        <rFont val="맑은 고딕"/>
        <family val="2"/>
      </rPr>
      <t>실제</t>
    </r>
    <r>
      <rPr>
        <sz val="9"/>
        <color theme="1"/>
        <rFont val="Calibri"/>
        <family val="2"/>
      </rPr>
      <t xml:space="preserve"> </t>
    </r>
    <r>
      <rPr>
        <sz val="9"/>
        <color theme="1"/>
        <rFont val="맑은 고딕"/>
        <family val="2"/>
      </rPr>
      <t>진척된</t>
    </r>
    <r>
      <rPr>
        <sz val="9"/>
        <color theme="1"/>
        <rFont val="Calibri"/>
        <family val="2"/>
      </rPr>
      <t xml:space="preserve"> </t>
    </r>
    <r>
      <rPr>
        <sz val="9"/>
        <color theme="1"/>
        <rFont val="맑은 고딕"/>
        <family val="2"/>
      </rPr>
      <t>작업량을</t>
    </r>
    <r>
      <rPr>
        <sz val="9"/>
        <color theme="1"/>
        <rFont val="Calibri"/>
        <family val="2"/>
      </rPr>
      <t xml:space="preserve"> %</t>
    </r>
    <r>
      <rPr>
        <sz val="9"/>
        <color theme="1"/>
        <rFont val="맑은 고딕"/>
        <family val="2"/>
      </rPr>
      <t>로</t>
    </r>
    <r>
      <rPr>
        <sz val="9"/>
        <color theme="1"/>
        <rFont val="Calibri"/>
        <family val="2"/>
      </rPr>
      <t xml:space="preserve"> </t>
    </r>
    <r>
      <rPr>
        <sz val="9"/>
        <color theme="1"/>
        <rFont val="맑은 고딕"/>
        <family val="2"/>
      </rPr>
      <t>표현합니다</t>
    </r>
    <r>
      <rPr>
        <sz val="9"/>
        <color theme="1"/>
        <rFont val="Calibri"/>
        <family val="2"/>
      </rPr>
      <t>.</t>
    </r>
  </si>
  <si>
    <r>
      <rPr>
        <sz val="9"/>
        <color theme="1"/>
        <rFont val="맑은 고딕"/>
        <family val="2"/>
      </rPr>
      <t>각</t>
    </r>
    <r>
      <rPr>
        <sz val="9"/>
        <color theme="1"/>
        <rFont val="Calibri"/>
        <family val="2"/>
      </rPr>
      <t xml:space="preserve"> </t>
    </r>
    <r>
      <rPr>
        <sz val="9"/>
        <color theme="1"/>
        <rFont val="맑은 고딕"/>
        <family val="2"/>
      </rPr>
      <t>작업의</t>
    </r>
    <r>
      <rPr>
        <sz val="9"/>
        <color theme="1"/>
        <rFont val="Calibri"/>
        <family val="2"/>
      </rPr>
      <t xml:space="preserve"> </t>
    </r>
    <r>
      <rPr>
        <sz val="9"/>
        <color theme="1"/>
        <rFont val="맑은 고딕"/>
        <family val="2"/>
      </rPr>
      <t>실제시작일을</t>
    </r>
    <r>
      <rPr>
        <sz val="9"/>
        <color theme="1"/>
        <rFont val="Calibri"/>
        <family val="2"/>
      </rPr>
      <t xml:space="preserve"> </t>
    </r>
    <r>
      <rPr>
        <sz val="9"/>
        <color theme="1"/>
        <rFont val="맑은 고딕"/>
        <family val="2"/>
      </rPr>
      <t>표시합니다</t>
    </r>
    <r>
      <rPr>
        <sz val="9"/>
        <color theme="1"/>
        <rFont val="Calibri"/>
        <family val="2"/>
      </rPr>
      <t xml:space="preserve">. </t>
    </r>
    <r>
      <rPr>
        <sz val="9"/>
        <color theme="1"/>
        <rFont val="맑은 고딕"/>
        <family val="2"/>
      </rPr>
      <t>반드시</t>
    </r>
    <r>
      <rPr>
        <sz val="9"/>
        <color theme="1"/>
        <rFont val="Calibri"/>
        <family val="2"/>
      </rPr>
      <t xml:space="preserve"> </t>
    </r>
    <r>
      <rPr>
        <sz val="9"/>
        <color theme="1"/>
        <rFont val="맑은 고딕"/>
        <family val="2"/>
      </rPr>
      <t>날짜</t>
    </r>
    <r>
      <rPr>
        <sz val="9"/>
        <color theme="1"/>
        <rFont val="Calibri"/>
        <family val="2"/>
      </rPr>
      <t xml:space="preserve"> </t>
    </r>
    <r>
      <rPr>
        <sz val="9"/>
        <color theme="1"/>
        <rFont val="맑은 고딕"/>
        <family val="2"/>
      </rPr>
      <t>형식이어야</t>
    </r>
    <r>
      <rPr>
        <sz val="9"/>
        <color theme="1"/>
        <rFont val="Calibri"/>
        <family val="2"/>
      </rPr>
      <t xml:space="preserve"> </t>
    </r>
    <r>
      <rPr>
        <sz val="9"/>
        <color theme="1"/>
        <rFont val="맑은 고딕"/>
        <family val="2"/>
      </rPr>
      <t>합니다</t>
    </r>
    <r>
      <rPr>
        <sz val="9"/>
        <color theme="1"/>
        <rFont val="Calibri"/>
        <family val="2"/>
      </rPr>
      <t>.</t>
    </r>
  </si>
  <si>
    <r>
      <rPr>
        <sz val="9"/>
        <color theme="1"/>
        <rFont val="맑은 고딕"/>
        <family val="2"/>
      </rPr>
      <t>실제시작일의</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잘못되었습니다</t>
    </r>
    <r>
      <rPr>
        <sz val="9"/>
        <color theme="1"/>
        <rFont val="Calibri"/>
        <family val="2"/>
      </rPr>
      <t>.</t>
    </r>
  </si>
  <si>
    <r>
      <rPr>
        <sz val="9"/>
        <color theme="1"/>
        <rFont val="맑은 고딕"/>
        <family val="2"/>
      </rPr>
      <t>실제시작일자에</t>
    </r>
    <r>
      <rPr>
        <sz val="9"/>
        <color theme="1"/>
        <rFont val="Calibri"/>
        <family val="2"/>
      </rPr>
      <t xml:space="preserve"> </t>
    </r>
    <r>
      <rPr>
        <sz val="9"/>
        <color theme="1"/>
        <rFont val="맑은 고딕"/>
        <family val="2"/>
      </rPr>
      <t>날짜가</t>
    </r>
    <r>
      <rPr>
        <sz val="9"/>
        <color theme="1"/>
        <rFont val="Calibri"/>
        <family val="2"/>
      </rPr>
      <t xml:space="preserve"> </t>
    </r>
    <r>
      <rPr>
        <sz val="9"/>
        <color theme="1"/>
        <rFont val="맑은 고딕"/>
        <family val="2"/>
      </rPr>
      <t>아닌</t>
    </r>
    <r>
      <rPr>
        <sz val="9"/>
        <color theme="1"/>
        <rFont val="Calibri"/>
        <family val="2"/>
      </rPr>
      <t xml:space="preserve"> </t>
    </r>
    <r>
      <rPr>
        <sz val="9"/>
        <color theme="1"/>
        <rFont val="맑은 고딕"/>
        <family val="2"/>
      </rPr>
      <t>값이</t>
    </r>
    <r>
      <rPr>
        <sz val="9"/>
        <color theme="1"/>
        <rFont val="Calibri"/>
        <family val="2"/>
      </rPr>
      <t xml:space="preserve"> </t>
    </r>
    <r>
      <rPr>
        <sz val="9"/>
        <color theme="1"/>
        <rFont val="맑은 고딕"/>
        <family val="2"/>
      </rPr>
      <t>포함되어</t>
    </r>
    <r>
      <rPr>
        <sz val="9"/>
        <color theme="1"/>
        <rFont val="Calibri"/>
        <family val="2"/>
      </rPr>
      <t xml:space="preserve"> </t>
    </r>
    <r>
      <rPr>
        <sz val="9"/>
        <color theme="1"/>
        <rFont val="맑은 고딕"/>
        <family val="2"/>
      </rPr>
      <t>있습니다</t>
    </r>
    <r>
      <rPr>
        <sz val="9"/>
        <color theme="1"/>
        <rFont val="Calibri"/>
        <family val="2"/>
      </rPr>
      <t>. Import</t>
    </r>
    <r>
      <rPr>
        <sz val="9"/>
        <color theme="1"/>
        <rFont val="맑은 고딕"/>
        <family val="2"/>
      </rPr>
      <t>하는</t>
    </r>
    <r>
      <rPr>
        <sz val="9"/>
        <color theme="1"/>
        <rFont val="Calibri"/>
        <family val="2"/>
      </rPr>
      <t xml:space="preserve"> </t>
    </r>
    <r>
      <rPr>
        <sz val="9"/>
        <color theme="1"/>
        <rFont val="맑은 고딕"/>
        <family val="2"/>
      </rPr>
      <t>파일의</t>
    </r>
    <r>
      <rPr>
        <sz val="9"/>
        <color theme="1"/>
        <rFont val="Calibri"/>
        <family val="2"/>
      </rPr>
      <t xml:space="preserve"> {}</t>
    </r>
    <r>
      <rPr>
        <sz val="9"/>
        <color theme="1"/>
        <rFont val="맑은 고딕"/>
        <family val="2"/>
      </rPr>
      <t>행을</t>
    </r>
    <r>
      <rPr>
        <sz val="9"/>
        <color theme="1"/>
        <rFont val="Calibri"/>
        <family val="2"/>
      </rPr>
      <t xml:space="preserve"> </t>
    </r>
    <r>
      <rPr>
        <sz val="9"/>
        <color theme="1"/>
        <rFont val="맑은 고딕"/>
        <family val="2"/>
      </rPr>
      <t>확인하세요</t>
    </r>
    <r>
      <rPr>
        <sz val="9"/>
        <color theme="1"/>
        <rFont val="Calibri"/>
        <family val="2"/>
      </rPr>
      <t>.</t>
    </r>
  </si>
  <si>
    <r>
      <rPr>
        <sz val="9"/>
        <color theme="1"/>
        <rFont val="맑은 고딕"/>
        <family val="2"/>
      </rPr>
      <t>실제</t>
    </r>
    <r>
      <rPr>
        <sz val="9"/>
        <color theme="1"/>
        <rFont val="Calibri"/>
        <family val="2"/>
      </rPr>
      <t xml:space="preserve"> </t>
    </r>
    <r>
      <rPr>
        <sz val="9"/>
        <color theme="1"/>
        <rFont val="맑은 고딕"/>
        <family val="2"/>
      </rPr>
      <t>총작업량</t>
    </r>
    <r>
      <rPr>
        <sz val="9"/>
        <color theme="1"/>
        <rFont val="Calibri"/>
        <family val="2"/>
      </rPr>
      <t>\nMan-day</t>
    </r>
  </si>
  <si>
    <r>
      <rPr>
        <sz val="9"/>
        <color theme="1"/>
        <rFont val="맑은 고딕"/>
        <family val="2"/>
      </rPr>
      <t>실제</t>
    </r>
    <r>
      <rPr>
        <sz val="9"/>
        <color theme="1"/>
        <rFont val="Calibri"/>
        <family val="2"/>
      </rPr>
      <t>\n</t>
    </r>
    <r>
      <rPr>
        <sz val="9"/>
        <color theme="1"/>
        <rFont val="맑은 고딕"/>
        <family val="2"/>
      </rPr>
      <t>총작업량</t>
    </r>
  </si>
  <si>
    <r>
      <rPr>
        <sz val="9"/>
        <color theme="1"/>
        <rFont val="맑은 고딕"/>
        <family val="2"/>
      </rPr>
      <t>실제</t>
    </r>
    <r>
      <rPr>
        <sz val="9"/>
        <color theme="1"/>
        <rFont val="Calibri"/>
        <family val="2"/>
      </rPr>
      <t xml:space="preserve"> </t>
    </r>
    <r>
      <rPr>
        <sz val="9"/>
        <color theme="1"/>
        <rFont val="맑은 고딕"/>
        <family val="2"/>
      </rPr>
      <t>진행된</t>
    </r>
    <r>
      <rPr>
        <sz val="9"/>
        <color theme="1"/>
        <rFont val="Calibri"/>
        <family val="2"/>
      </rPr>
      <t xml:space="preserve"> </t>
    </r>
    <r>
      <rPr>
        <sz val="9"/>
        <color theme="1"/>
        <rFont val="맑은 고딕"/>
        <family val="2"/>
      </rPr>
      <t>작업량</t>
    </r>
  </si>
  <si>
    <r>
      <rPr>
        <sz val="9"/>
        <color theme="1"/>
        <rFont val="맑은 고딕"/>
        <family val="2"/>
      </rPr>
      <t>일정변경</t>
    </r>
    <r>
      <rPr>
        <sz val="9"/>
        <color theme="1"/>
        <rFont val="Calibri"/>
        <family val="2"/>
      </rPr>
      <t xml:space="preserve"> </t>
    </r>
    <r>
      <rPr>
        <sz val="9"/>
        <color theme="1"/>
        <rFont val="맑은 고딕"/>
        <family val="2"/>
      </rPr>
      <t>관리할</t>
    </r>
    <r>
      <rPr>
        <sz val="9"/>
        <color theme="1"/>
        <rFont val="Calibri"/>
        <family val="2"/>
      </rPr>
      <t xml:space="preserve"> </t>
    </r>
    <r>
      <rPr>
        <sz val="9"/>
        <color theme="1"/>
        <rFont val="맑은 고딕"/>
        <family val="2"/>
      </rPr>
      <t>때</t>
    </r>
    <r>
      <rPr>
        <sz val="9"/>
        <color theme="1"/>
        <rFont val="Calibri"/>
        <family val="2"/>
      </rPr>
      <t xml:space="preserve"> </t>
    </r>
    <r>
      <rPr>
        <sz val="9"/>
        <color theme="1"/>
        <rFont val="맑은 고딕"/>
        <family val="2"/>
      </rPr>
      <t>현재까지</t>
    </r>
    <r>
      <rPr>
        <sz val="9"/>
        <color theme="1"/>
        <rFont val="Calibri"/>
        <family val="2"/>
      </rPr>
      <t xml:space="preserve"> </t>
    </r>
    <r>
      <rPr>
        <sz val="9"/>
        <color theme="1"/>
        <rFont val="맑은 고딕"/>
        <family val="2"/>
      </rPr>
      <t>실제로</t>
    </r>
    <r>
      <rPr>
        <sz val="9"/>
        <color theme="1"/>
        <rFont val="Calibri"/>
        <family val="2"/>
      </rPr>
      <t xml:space="preserve"> </t>
    </r>
    <r>
      <rPr>
        <sz val="9"/>
        <color theme="1"/>
        <rFont val="맑은 고딕"/>
        <family val="2"/>
      </rPr>
      <t>투입된</t>
    </r>
    <r>
      <rPr>
        <sz val="9"/>
        <color theme="1"/>
        <rFont val="Calibri"/>
        <family val="2"/>
      </rPr>
      <t xml:space="preserve"> </t>
    </r>
    <r>
      <rPr>
        <sz val="9"/>
        <color theme="1"/>
        <rFont val="맑은 고딕"/>
        <family val="2"/>
      </rPr>
      <t>작업기간을</t>
    </r>
    <r>
      <rPr>
        <sz val="9"/>
        <color theme="1"/>
        <rFont val="Calibri"/>
        <family val="2"/>
      </rPr>
      <t xml:space="preserve"> </t>
    </r>
    <r>
      <rPr>
        <sz val="9"/>
        <color theme="1"/>
        <rFont val="맑은 고딕"/>
        <family val="2"/>
      </rPr>
      <t>표시함</t>
    </r>
  </si>
  <si>
    <r>
      <rPr>
        <sz val="9"/>
        <color theme="1"/>
        <rFont val="맑은 고딕"/>
        <family val="2"/>
      </rPr>
      <t>일정변경관리</t>
    </r>
    <r>
      <rPr>
        <sz val="9"/>
        <color theme="1"/>
        <rFont val="Calibri"/>
        <family val="2"/>
      </rPr>
      <t xml:space="preserve"> </t>
    </r>
    <r>
      <rPr>
        <sz val="9"/>
        <color theme="1"/>
        <rFont val="맑은 고딕"/>
        <family val="2"/>
      </rPr>
      <t>하지</t>
    </r>
    <r>
      <rPr>
        <sz val="9"/>
        <color theme="1"/>
        <rFont val="Calibri"/>
        <family val="2"/>
      </rPr>
      <t xml:space="preserve"> </t>
    </r>
    <r>
      <rPr>
        <sz val="9"/>
        <color theme="1"/>
        <rFont val="맑은 고딕"/>
        <family val="2"/>
      </rPr>
      <t>않을</t>
    </r>
    <r>
      <rPr>
        <sz val="9"/>
        <color theme="1"/>
        <rFont val="Calibri"/>
        <family val="2"/>
      </rPr>
      <t xml:space="preserve"> </t>
    </r>
    <r>
      <rPr>
        <sz val="9"/>
        <color theme="1"/>
        <rFont val="맑은 고딕"/>
        <family val="2"/>
      </rPr>
      <t>때</t>
    </r>
    <r>
      <rPr>
        <sz val="9"/>
        <color theme="1"/>
        <rFont val="Calibri"/>
        <family val="2"/>
      </rPr>
      <t xml:space="preserve"> </t>
    </r>
    <r>
      <rPr>
        <sz val="9"/>
        <color theme="1"/>
        <rFont val="맑은 고딕"/>
        <family val="2"/>
      </rPr>
      <t>현재까지</t>
    </r>
    <r>
      <rPr>
        <sz val="9"/>
        <color theme="1"/>
        <rFont val="Calibri"/>
        <family val="2"/>
      </rPr>
      <t xml:space="preserve"> </t>
    </r>
    <r>
      <rPr>
        <sz val="9"/>
        <color theme="1"/>
        <rFont val="맑은 고딕"/>
        <family val="2"/>
      </rPr>
      <t>실제로</t>
    </r>
    <r>
      <rPr>
        <sz val="9"/>
        <color theme="1"/>
        <rFont val="Calibri"/>
        <family val="2"/>
      </rPr>
      <t xml:space="preserve"> </t>
    </r>
    <r>
      <rPr>
        <sz val="9"/>
        <color theme="1"/>
        <rFont val="맑은 고딕"/>
        <family val="2"/>
      </rPr>
      <t>진행된</t>
    </r>
    <r>
      <rPr>
        <sz val="9"/>
        <color theme="1"/>
        <rFont val="Calibri"/>
        <family val="2"/>
      </rPr>
      <t xml:space="preserve"> </t>
    </r>
    <r>
      <rPr>
        <sz val="9"/>
        <color theme="1"/>
        <rFont val="맑은 고딕"/>
        <family val="2"/>
      </rPr>
      <t>작업기간을</t>
    </r>
    <r>
      <rPr>
        <sz val="9"/>
        <color theme="1"/>
        <rFont val="Calibri"/>
        <family val="2"/>
      </rPr>
      <t xml:space="preserve"> </t>
    </r>
    <r>
      <rPr>
        <sz val="9"/>
        <color theme="1"/>
        <rFont val="맑은 고딕"/>
        <family val="2"/>
      </rPr>
      <t>표시함</t>
    </r>
    <r>
      <rPr>
        <sz val="9"/>
        <color theme="1"/>
        <rFont val="Calibri"/>
        <family val="2"/>
      </rPr>
      <t>(</t>
    </r>
    <r>
      <rPr>
        <sz val="9"/>
        <color theme="1"/>
        <rFont val="맑은 고딕"/>
        <family val="2"/>
      </rPr>
      <t>총기간</t>
    </r>
    <r>
      <rPr>
        <sz val="9"/>
        <color theme="1"/>
        <rFont val="Calibri"/>
        <family val="2"/>
      </rPr>
      <t xml:space="preserve"> x </t>
    </r>
    <r>
      <rPr>
        <sz val="9"/>
        <color theme="1"/>
        <rFont val="맑은 고딕"/>
        <family val="2"/>
      </rPr>
      <t>총실적진행율</t>
    </r>
    <r>
      <rPr>
        <sz val="9"/>
        <color theme="1"/>
        <rFont val="Calibri"/>
        <family val="2"/>
      </rPr>
      <t>)</t>
    </r>
  </si>
  <si>
    <r>
      <rPr>
        <sz val="9"/>
        <color theme="1"/>
        <rFont val="맑은 고딕"/>
        <family val="2"/>
      </rPr>
      <t>추가</t>
    </r>
    <r>
      <rPr>
        <sz val="9"/>
        <color theme="1"/>
        <rFont val="Calibri"/>
        <family val="2"/>
      </rPr>
      <t xml:space="preserve"> &gt;&gt;</t>
    </r>
  </si>
  <si>
    <r>
      <rPr>
        <sz val="9"/>
        <color theme="1"/>
        <rFont val="맑은 고딕"/>
        <family val="2"/>
      </rPr>
      <t>언어</t>
    </r>
    <r>
      <rPr>
        <sz val="9"/>
        <color theme="1"/>
        <rFont val="Calibri"/>
        <family val="2"/>
      </rPr>
      <t xml:space="preserve"> </t>
    </r>
    <r>
      <rPr>
        <sz val="9"/>
        <color theme="1"/>
        <rFont val="맑은 고딕"/>
        <family val="2"/>
      </rPr>
      <t>추가</t>
    </r>
  </si>
  <si>
    <r>
      <t>MS Outlook</t>
    </r>
    <r>
      <rPr>
        <sz val="9"/>
        <color theme="1"/>
        <rFont val="맑은 고딕"/>
        <family val="2"/>
      </rPr>
      <t>일정</t>
    </r>
    <r>
      <rPr>
        <sz val="9"/>
        <color theme="1"/>
        <rFont val="Calibri"/>
        <family val="2"/>
      </rPr>
      <t xml:space="preserve"> </t>
    </r>
    <r>
      <rPr>
        <sz val="9"/>
        <color theme="1"/>
        <rFont val="맑은 고딕"/>
        <family val="2"/>
      </rPr>
      <t>등록</t>
    </r>
  </si>
  <si>
    <r>
      <t>MS Outlook</t>
    </r>
    <r>
      <rPr>
        <sz val="9"/>
        <color theme="1"/>
        <rFont val="맑은 고딕"/>
        <family val="2"/>
      </rPr>
      <t>작업</t>
    </r>
    <r>
      <rPr>
        <sz val="9"/>
        <color theme="1"/>
        <rFont val="Calibri"/>
        <family val="2"/>
      </rPr>
      <t xml:space="preserve"> </t>
    </r>
    <r>
      <rPr>
        <sz val="9"/>
        <color theme="1"/>
        <rFont val="맑은 고딕"/>
        <family val="2"/>
      </rPr>
      <t>등록</t>
    </r>
  </si>
  <si>
    <r>
      <rPr>
        <sz val="9"/>
        <color theme="1"/>
        <rFont val="맑은 고딕"/>
        <family val="2"/>
      </rPr>
      <t>필터를</t>
    </r>
    <r>
      <rPr>
        <sz val="9"/>
        <color theme="1"/>
        <rFont val="Calibri"/>
        <family val="2"/>
      </rPr>
      <t xml:space="preserve"> </t>
    </r>
    <r>
      <rPr>
        <sz val="9"/>
        <color theme="1"/>
        <rFont val="맑은 고딕"/>
        <family val="2"/>
      </rPr>
      <t>해제하고</t>
    </r>
    <r>
      <rPr>
        <sz val="9"/>
        <color theme="1"/>
        <rFont val="Calibri"/>
        <family val="2"/>
      </rPr>
      <t xml:space="preserve"> </t>
    </r>
    <r>
      <rPr>
        <sz val="9"/>
        <color theme="1"/>
        <rFont val="맑은 고딕"/>
        <family val="2"/>
      </rPr>
      <t>작업을</t>
    </r>
    <r>
      <rPr>
        <sz val="9"/>
        <color theme="1"/>
        <rFont val="Calibri"/>
        <family val="2"/>
      </rPr>
      <t xml:space="preserve"> </t>
    </r>
    <r>
      <rPr>
        <sz val="9"/>
        <color theme="1"/>
        <rFont val="맑은 고딕"/>
        <family val="2"/>
      </rPr>
      <t>진행합니다</t>
    </r>
    <r>
      <rPr>
        <sz val="9"/>
        <color theme="1"/>
        <rFont val="Calibri"/>
        <family val="2"/>
      </rPr>
      <t>.</t>
    </r>
  </si>
  <si>
    <r>
      <rPr>
        <sz val="9"/>
        <color theme="1"/>
        <rFont val="맑은 고딕"/>
        <family val="2"/>
      </rPr>
      <t>전체</t>
    </r>
    <r>
      <rPr>
        <sz val="9"/>
        <color theme="1"/>
        <rFont val="Calibri"/>
        <family val="2"/>
      </rPr>
      <t xml:space="preserve"> </t>
    </r>
    <r>
      <rPr>
        <sz val="9"/>
        <color theme="1"/>
        <rFont val="맑은 고딕"/>
        <family val="2"/>
      </rPr>
      <t>조회</t>
    </r>
    <r>
      <rPr>
        <sz val="9"/>
        <color theme="1"/>
        <rFont val="Calibri"/>
        <family val="2"/>
      </rPr>
      <t>(</t>
    </r>
    <r>
      <rPr>
        <sz val="9"/>
        <color theme="1"/>
        <rFont val="맑은 고딕"/>
        <family val="2"/>
      </rPr>
      <t>필터</t>
    </r>
    <r>
      <rPr>
        <sz val="9"/>
        <color theme="1"/>
        <rFont val="Calibri"/>
        <family val="2"/>
      </rPr>
      <t xml:space="preserve"> </t>
    </r>
    <r>
      <rPr>
        <sz val="9"/>
        <color theme="1"/>
        <rFont val="맑은 고딕"/>
        <family val="2"/>
      </rPr>
      <t>해제</t>
    </r>
    <r>
      <rPr>
        <sz val="9"/>
        <color theme="1"/>
        <rFont val="Calibri"/>
        <family val="2"/>
      </rPr>
      <t>)</t>
    </r>
  </si>
  <si>
    <r>
      <rPr>
        <sz val="9"/>
        <color theme="1"/>
        <rFont val="맑은 고딕"/>
        <family val="2"/>
      </rPr>
      <t>최신버전</t>
    </r>
    <r>
      <rPr>
        <sz val="9"/>
        <color theme="1"/>
        <rFont val="Calibri"/>
        <family val="2"/>
      </rPr>
      <t xml:space="preserve"> </t>
    </r>
    <r>
      <rPr>
        <sz val="9"/>
        <color theme="1"/>
        <rFont val="맑은 고딕"/>
        <family val="2"/>
      </rPr>
      <t>확인</t>
    </r>
    <r>
      <rPr>
        <sz val="9"/>
        <color theme="1"/>
        <rFont val="Calibri"/>
        <family val="2"/>
      </rPr>
      <t xml:space="preserve"> </t>
    </r>
    <r>
      <rPr>
        <sz val="9"/>
        <color theme="1"/>
        <rFont val="맑은 고딕"/>
        <family val="2"/>
      </rPr>
      <t>중</t>
    </r>
    <r>
      <rPr>
        <sz val="9"/>
        <color theme="1"/>
        <rFont val="Calibri"/>
        <family val="2"/>
      </rPr>
      <t xml:space="preserve"> </t>
    </r>
    <r>
      <rPr>
        <sz val="9"/>
        <color theme="1"/>
        <rFont val="맑은 고딕"/>
        <family val="2"/>
      </rPr>
      <t>에러가</t>
    </r>
    <r>
      <rPr>
        <sz val="9"/>
        <color theme="1"/>
        <rFont val="Calibri"/>
        <family val="2"/>
      </rPr>
      <t xml:space="preserve"> </t>
    </r>
    <r>
      <rPr>
        <sz val="9"/>
        <color theme="1"/>
        <rFont val="맑은 고딕"/>
        <family val="2"/>
      </rPr>
      <t>발생했습니다</t>
    </r>
    <r>
      <rPr>
        <sz val="9"/>
        <color theme="1"/>
        <rFont val="Calibri"/>
        <family val="2"/>
      </rPr>
      <t xml:space="preserve">. </t>
    </r>
    <r>
      <rPr>
        <sz val="9"/>
        <color theme="1"/>
        <rFont val="맑은 고딕"/>
        <family val="2"/>
      </rPr>
      <t>잠시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다시</t>
    </r>
    <r>
      <rPr>
        <sz val="9"/>
        <color theme="1"/>
        <rFont val="Calibri"/>
        <family val="2"/>
      </rPr>
      <t xml:space="preserve"> </t>
    </r>
    <r>
      <rPr>
        <sz val="9"/>
        <color theme="1"/>
        <rFont val="맑은 고딕"/>
        <family val="2"/>
      </rPr>
      <t>시도하세요</t>
    </r>
    <r>
      <rPr>
        <sz val="9"/>
        <color theme="1"/>
        <rFont val="Calibri"/>
        <family val="2"/>
      </rPr>
      <t>.\n</t>
    </r>
    <r>
      <rPr>
        <sz val="9"/>
        <color theme="1"/>
        <rFont val="맑은 고딕"/>
        <family val="2"/>
      </rPr>
      <t>에러메시지</t>
    </r>
    <r>
      <rPr>
        <sz val="9"/>
        <color theme="1"/>
        <rFont val="Calibri"/>
        <family val="2"/>
      </rPr>
      <t xml:space="preserve"> : {}</t>
    </r>
  </si>
  <si>
    <r>
      <rPr>
        <sz val="9"/>
        <color theme="1"/>
        <rFont val="맑은 고딕"/>
        <family val="2"/>
      </rPr>
      <t>서식</t>
    </r>
    <r>
      <rPr>
        <sz val="9"/>
        <color theme="1"/>
        <rFont val="Calibri"/>
        <family val="2"/>
      </rPr>
      <t xml:space="preserve">check </t>
    </r>
    <r>
      <rPr>
        <sz val="9"/>
        <color theme="1"/>
        <rFont val="맑은 고딕"/>
        <family val="2"/>
      </rPr>
      <t>중</t>
    </r>
    <r>
      <rPr>
        <sz val="9"/>
        <color theme="1"/>
        <rFont val="Calibri"/>
        <family val="2"/>
      </rPr>
      <t xml:space="preserve"> </t>
    </r>
    <r>
      <rPr>
        <sz val="9"/>
        <color theme="1"/>
        <rFont val="맑은 고딕"/>
        <family val="2"/>
      </rPr>
      <t>에러가</t>
    </r>
    <r>
      <rPr>
        <sz val="9"/>
        <color theme="1"/>
        <rFont val="Calibri"/>
        <family val="2"/>
      </rPr>
      <t xml:space="preserve"> </t>
    </r>
    <r>
      <rPr>
        <sz val="9"/>
        <color theme="1"/>
        <rFont val="맑은 고딕"/>
        <family val="2"/>
      </rPr>
      <t>발생하였습니다</t>
    </r>
    <r>
      <rPr>
        <sz val="9"/>
        <color theme="1"/>
        <rFont val="Calibri"/>
        <family val="2"/>
      </rPr>
      <t>. XLGantt</t>
    </r>
    <r>
      <rPr>
        <sz val="9"/>
        <color theme="1"/>
        <rFont val="맑은 고딕"/>
        <family val="2"/>
      </rPr>
      <t>를</t>
    </r>
    <r>
      <rPr>
        <sz val="9"/>
        <color theme="1"/>
        <rFont val="Calibri"/>
        <family val="2"/>
      </rPr>
      <t xml:space="preserve"> </t>
    </r>
    <r>
      <rPr>
        <sz val="9"/>
        <color theme="1"/>
        <rFont val="맑은 고딕"/>
        <family val="2"/>
      </rPr>
      <t>종료하고</t>
    </r>
    <r>
      <rPr>
        <sz val="9"/>
        <color theme="1"/>
        <rFont val="Calibri"/>
        <family val="2"/>
      </rPr>
      <t xml:space="preserve"> </t>
    </r>
    <r>
      <rPr>
        <sz val="9"/>
        <color theme="1"/>
        <rFont val="맑은 고딕"/>
        <family val="2"/>
      </rPr>
      <t>다시</t>
    </r>
    <r>
      <rPr>
        <sz val="9"/>
        <color theme="1"/>
        <rFont val="Calibri"/>
        <family val="2"/>
      </rPr>
      <t xml:space="preserve"> </t>
    </r>
    <r>
      <rPr>
        <sz val="9"/>
        <color theme="1"/>
        <rFont val="맑은 고딕"/>
        <family val="2"/>
      </rPr>
      <t>시작하십시오</t>
    </r>
    <r>
      <rPr>
        <sz val="9"/>
        <color theme="1"/>
        <rFont val="Calibri"/>
        <family val="2"/>
      </rPr>
      <t>.</t>
    </r>
  </si>
  <si>
    <r>
      <rPr>
        <sz val="9"/>
        <color theme="1"/>
        <rFont val="맑은 고딕"/>
        <family val="2"/>
      </rPr>
      <t>처리</t>
    </r>
    <r>
      <rPr>
        <sz val="9"/>
        <color theme="1"/>
        <rFont val="Calibri"/>
        <family val="2"/>
      </rPr>
      <t xml:space="preserve"> </t>
    </r>
    <r>
      <rPr>
        <sz val="9"/>
        <color theme="1"/>
        <rFont val="맑은 고딕"/>
        <family val="2"/>
      </rPr>
      <t>중</t>
    </r>
    <r>
      <rPr>
        <sz val="9"/>
        <color theme="1"/>
        <rFont val="Calibri"/>
        <family val="2"/>
      </rPr>
      <t xml:space="preserve"> </t>
    </r>
    <r>
      <rPr>
        <sz val="9"/>
        <color theme="1"/>
        <rFont val="맑은 고딕"/>
        <family val="2"/>
      </rPr>
      <t>에러가</t>
    </r>
    <r>
      <rPr>
        <sz val="9"/>
        <color theme="1"/>
        <rFont val="Calibri"/>
        <family val="2"/>
      </rPr>
      <t xml:space="preserve"> </t>
    </r>
    <r>
      <rPr>
        <sz val="9"/>
        <color theme="1"/>
        <rFont val="맑은 고딕"/>
        <family val="2"/>
      </rPr>
      <t>발생했습니다</t>
    </r>
    <r>
      <rPr>
        <sz val="9"/>
        <color theme="1"/>
        <rFont val="Calibri"/>
        <family val="2"/>
      </rPr>
      <t xml:space="preserve">. </t>
    </r>
    <r>
      <rPr>
        <sz val="9"/>
        <color theme="1"/>
        <rFont val="맑은 고딕"/>
        <family val="2"/>
      </rPr>
      <t>아래의</t>
    </r>
    <r>
      <rPr>
        <sz val="9"/>
        <color theme="1"/>
        <rFont val="Calibri"/>
        <family val="2"/>
      </rPr>
      <t xml:space="preserve"> </t>
    </r>
    <r>
      <rPr>
        <sz val="9"/>
        <color theme="1"/>
        <rFont val="맑은 고딕"/>
        <family val="2"/>
      </rPr>
      <t>메시지를</t>
    </r>
    <r>
      <rPr>
        <sz val="9"/>
        <color theme="1"/>
        <rFont val="Calibri"/>
        <family val="2"/>
      </rPr>
      <t xml:space="preserve"> </t>
    </r>
    <r>
      <rPr>
        <sz val="9"/>
        <color theme="1"/>
        <rFont val="맑은 고딕"/>
        <family val="2"/>
      </rPr>
      <t>확인하십시오</t>
    </r>
    <r>
      <rPr>
        <sz val="9"/>
        <color theme="1"/>
        <rFont val="Calibri"/>
        <family val="2"/>
      </rPr>
      <t>.</t>
    </r>
  </si>
  <si>
    <r>
      <rPr>
        <sz val="9"/>
        <color theme="1"/>
        <rFont val="맑은 고딕"/>
        <family val="2"/>
      </rPr>
      <t>추가</t>
    </r>
    <r>
      <rPr>
        <sz val="9"/>
        <color theme="1"/>
        <rFont val="Calibri"/>
        <family val="2"/>
      </rPr>
      <t xml:space="preserve"> </t>
    </r>
    <r>
      <rPr>
        <sz val="9"/>
        <color theme="1"/>
        <rFont val="맑은 고딕"/>
        <family val="2"/>
      </rPr>
      <t>가능한</t>
    </r>
    <r>
      <rPr>
        <sz val="9"/>
        <color theme="1"/>
        <rFont val="Calibri"/>
        <family val="2"/>
      </rPr>
      <t xml:space="preserve"> </t>
    </r>
    <r>
      <rPr>
        <sz val="9"/>
        <color theme="1"/>
        <rFont val="맑은 고딕"/>
        <family val="2"/>
      </rPr>
      <t>언어</t>
    </r>
  </si>
  <si>
    <r>
      <t>Bar chart</t>
    </r>
    <r>
      <rPr>
        <sz val="9"/>
        <color theme="1"/>
        <rFont val="맑은 고딕"/>
        <family val="2"/>
      </rPr>
      <t>의</t>
    </r>
    <r>
      <rPr>
        <sz val="9"/>
        <color theme="1"/>
        <rFont val="Calibri"/>
        <family val="2"/>
      </rPr>
      <t xml:space="preserve"> </t>
    </r>
    <r>
      <rPr>
        <sz val="9"/>
        <color theme="1"/>
        <rFont val="맑은 고딕"/>
        <family val="2"/>
      </rPr>
      <t>텍스트</t>
    </r>
    <r>
      <rPr>
        <sz val="9"/>
        <color theme="1"/>
        <rFont val="Calibri"/>
        <family val="2"/>
      </rPr>
      <t xml:space="preserve"> </t>
    </r>
    <r>
      <rPr>
        <sz val="9"/>
        <color theme="1"/>
        <rFont val="맑은 고딕"/>
        <family val="2"/>
      </rPr>
      <t>표시</t>
    </r>
    <r>
      <rPr>
        <sz val="9"/>
        <color theme="1"/>
        <rFont val="Calibri"/>
        <family val="2"/>
      </rPr>
      <t xml:space="preserve"> </t>
    </r>
    <r>
      <rPr>
        <sz val="9"/>
        <color theme="1"/>
        <rFont val="맑은 고딕"/>
        <family val="2"/>
      </rPr>
      <t>위치</t>
    </r>
  </si>
  <si>
    <r>
      <rPr>
        <sz val="9"/>
        <color theme="1"/>
        <rFont val="맑은 고딕"/>
        <family val="2"/>
      </rPr>
      <t>다음</t>
    </r>
    <r>
      <rPr>
        <sz val="9"/>
        <color theme="1"/>
        <rFont val="Calibri"/>
        <family val="2"/>
      </rPr>
      <t xml:space="preserve"> </t>
    </r>
    <r>
      <rPr>
        <sz val="9"/>
        <color theme="1"/>
        <rFont val="맑은 고딕"/>
        <family val="2"/>
      </rPr>
      <t>작업은</t>
    </r>
    <r>
      <rPr>
        <sz val="9"/>
        <color theme="1"/>
        <rFont val="Calibri"/>
        <family val="2"/>
      </rPr>
      <t xml:space="preserve"> </t>
    </r>
    <r>
      <rPr>
        <sz val="9"/>
        <color theme="1"/>
        <rFont val="맑은 고딕"/>
        <family val="2"/>
      </rPr>
      <t>이미</t>
    </r>
    <r>
      <rPr>
        <sz val="9"/>
        <color theme="1"/>
        <rFont val="Calibri"/>
        <family val="2"/>
      </rPr>
      <t xml:space="preserve"> </t>
    </r>
    <r>
      <rPr>
        <sz val="9"/>
        <color theme="1"/>
        <rFont val="맑은 고딕"/>
        <family val="2"/>
      </rPr>
      <t>등록되어</t>
    </r>
    <r>
      <rPr>
        <sz val="9"/>
        <color theme="1"/>
        <rFont val="Calibri"/>
        <family val="2"/>
      </rPr>
      <t xml:space="preserve"> </t>
    </r>
    <r>
      <rPr>
        <sz val="9"/>
        <color theme="1"/>
        <rFont val="맑은 고딕"/>
        <family val="2"/>
      </rPr>
      <t>있으므로</t>
    </r>
    <r>
      <rPr>
        <sz val="9"/>
        <color theme="1"/>
        <rFont val="Calibri"/>
        <family val="2"/>
      </rPr>
      <t xml:space="preserve"> </t>
    </r>
    <r>
      <rPr>
        <sz val="9"/>
        <color theme="1"/>
        <rFont val="맑은 고딕"/>
        <family val="2"/>
      </rPr>
      <t>등록하지</t>
    </r>
    <r>
      <rPr>
        <sz val="9"/>
        <color theme="1"/>
        <rFont val="Calibri"/>
        <family val="2"/>
      </rPr>
      <t xml:space="preserve"> </t>
    </r>
    <r>
      <rPr>
        <sz val="9"/>
        <color theme="1"/>
        <rFont val="맑은 고딕"/>
        <family val="2"/>
      </rPr>
      <t>않습니다</t>
    </r>
    <r>
      <rPr>
        <sz val="9"/>
        <color theme="1"/>
        <rFont val="Calibri"/>
        <family val="2"/>
      </rPr>
      <t>.\n\n</t>
    </r>
    <r>
      <rPr>
        <sz val="9"/>
        <color theme="1"/>
        <rFont val="맑은 고딕"/>
        <family val="2"/>
      </rPr>
      <t>작업명</t>
    </r>
    <r>
      <rPr>
        <sz val="9"/>
        <color theme="1"/>
        <rFont val="Calibri"/>
        <family val="2"/>
      </rPr>
      <t xml:space="preserve"> : {1} \n</t>
    </r>
    <r>
      <rPr>
        <sz val="9"/>
        <color theme="1"/>
        <rFont val="맑은 고딕"/>
        <family val="2"/>
      </rPr>
      <t>기한</t>
    </r>
    <r>
      <rPr>
        <sz val="9"/>
        <color theme="1"/>
        <rFont val="Calibri"/>
        <family val="2"/>
      </rPr>
      <t xml:space="preserve"> : {2}</t>
    </r>
  </si>
  <si>
    <r>
      <rPr>
        <sz val="9"/>
        <color theme="1"/>
        <rFont val="맑은 고딕"/>
        <family val="2"/>
      </rPr>
      <t>다음</t>
    </r>
    <r>
      <rPr>
        <sz val="9"/>
        <color theme="1"/>
        <rFont val="Calibri"/>
        <family val="2"/>
      </rPr>
      <t xml:space="preserve"> </t>
    </r>
    <r>
      <rPr>
        <sz val="9"/>
        <color theme="1"/>
        <rFont val="맑은 고딕"/>
        <family val="2"/>
      </rPr>
      <t>작업은</t>
    </r>
    <r>
      <rPr>
        <sz val="9"/>
        <color theme="1"/>
        <rFont val="Calibri"/>
        <family val="2"/>
      </rPr>
      <t xml:space="preserve"> </t>
    </r>
    <r>
      <rPr>
        <sz val="9"/>
        <color theme="1"/>
        <rFont val="맑은 고딕"/>
        <family val="2"/>
      </rPr>
      <t>이미</t>
    </r>
    <r>
      <rPr>
        <sz val="9"/>
        <color theme="1"/>
        <rFont val="Calibri"/>
        <family val="2"/>
      </rPr>
      <t xml:space="preserve"> </t>
    </r>
    <r>
      <rPr>
        <sz val="9"/>
        <color theme="1"/>
        <rFont val="맑은 고딕"/>
        <family val="2"/>
      </rPr>
      <t>등록되어</t>
    </r>
    <r>
      <rPr>
        <sz val="9"/>
        <color theme="1"/>
        <rFont val="Calibri"/>
        <family val="2"/>
      </rPr>
      <t xml:space="preserve"> </t>
    </r>
    <r>
      <rPr>
        <sz val="9"/>
        <color theme="1"/>
        <rFont val="맑은 고딕"/>
        <family val="2"/>
      </rPr>
      <t>있으므로</t>
    </r>
    <r>
      <rPr>
        <sz val="9"/>
        <color theme="1"/>
        <rFont val="Calibri"/>
        <family val="2"/>
      </rPr>
      <t xml:space="preserve"> </t>
    </r>
    <r>
      <rPr>
        <sz val="9"/>
        <color theme="1"/>
        <rFont val="맑은 고딕"/>
        <family val="2"/>
      </rPr>
      <t>등록하지</t>
    </r>
    <r>
      <rPr>
        <sz val="9"/>
        <color theme="1"/>
        <rFont val="Calibri"/>
        <family val="2"/>
      </rPr>
      <t xml:space="preserve"> </t>
    </r>
    <r>
      <rPr>
        <sz val="9"/>
        <color theme="1"/>
        <rFont val="맑은 고딕"/>
        <family val="2"/>
      </rPr>
      <t>않습니다</t>
    </r>
    <r>
      <rPr>
        <sz val="9"/>
        <color theme="1"/>
        <rFont val="Calibri"/>
        <family val="2"/>
      </rPr>
      <t>.\n\n</t>
    </r>
    <r>
      <rPr>
        <sz val="9"/>
        <color theme="1"/>
        <rFont val="맑은 고딕"/>
        <family val="2"/>
      </rPr>
      <t>작업명</t>
    </r>
    <r>
      <rPr>
        <sz val="9"/>
        <color theme="1"/>
        <rFont val="Calibri"/>
        <family val="2"/>
      </rPr>
      <t xml:space="preserve"> : {1} \n</t>
    </r>
    <r>
      <rPr>
        <sz val="9"/>
        <color theme="1"/>
        <rFont val="맑은 고딕"/>
        <family val="2"/>
      </rPr>
      <t>시작일</t>
    </r>
    <r>
      <rPr>
        <sz val="9"/>
        <color theme="1"/>
        <rFont val="Calibri"/>
        <family val="2"/>
      </rPr>
      <t xml:space="preserve"> : {2}</t>
    </r>
  </si>
  <si>
    <r>
      <rPr>
        <sz val="9"/>
        <color theme="1"/>
        <rFont val="맑은 고딕"/>
        <family val="2"/>
      </rPr>
      <t>계획진척율</t>
    </r>
    <r>
      <rPr>
        <sz val="9"/>
        <color theme="1"/>
        <rFont val="Calibri"/>
        <family val="2"/>
      </rPr>
      <t xml:space="preserve"> </t>
    </r>
    <r>
      <rPr>
        <sz val="9"/>
        <color theme="1"/>
        <rFont val="맑은 고딕"/>
        <family val="2"/>
      </rPr>
      <t>계산</t>
    </r>
    <r>
      <rPr>
        <sz val="9"/>
        <color theme="1"/>
        <rFont val="Calibri"/>
        <family val="2"/>
      </rPr>
      <t xml:space="preserve"> </t>
    </r>
    <r>
      <rPr>
        <sz val="9"/>
        <color theme="1"/>
        <rFont val="맑은 고딕"/>
        <family val="2"/>
      </rPr>
      <t>기준일자</t>
    </r>
  </si>
  <si>
    <r>
      <rPr>
        <sz val="9"/>
        <color theme="1"/>
        <rFont val="맑은 고딕"/>
        <family val="2"/>
      </rPr>
      <t>계획진척율</t>
    </r>
    <r>
      <rPr>
        <sz val="9"/>
        <color theme="1"/>
        <rFont val="Calibri"/>
        <family val="2"/>
      </rPr>
      <t xml:space="preserve"> </t>
    </r>
    <r>
      <rPr>
        <sz val="9"/>
        <color theme="1"/>
        <rFont val="맑은 고딕"/>
        <family val="2"/>
      </rPr>
      <t>계산</t>
    </r>
    <r>
      <rPr>
        <sz val="9"/>
        <color theme="1"/>
        <rFont val="Calibri"/>
        <family val="2"/>
      </rPr>
      <t xml:space="preserve"> </t>
    </r>
    <r>
      <rPr>
        <sz val="9"/>
        <color theme="1"/>
        <rFont val="맑은 고딕"/>
        <family val="2"/>
      </rPr>
      <t>기준일자는</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시작일보다</t>
    </r>
    <r>
      <rPr>
        <sz val="9"/>
        <color theme="1"/>
        <rFont val="Calibri"/>
        <family val="2"/>
      </rPr>
      <t xml:space="preserve"> </t>
    </r>
    <r>
      <rPr>
        <sz val="9"/>
        <color theme="1"/>
        <rFont val="맑은 고딕"/>
        <family val="2"/>
      </rPr>
      <t>크거나</t>
    </r>
    <r>
      <rPr>
        <sz val="9"/>
        <color theme="1"/>
        <rFont val="Calibri"/>
        <family val="2"/>
      </rPr>
      <t xml:space="preserve"> </t>
    </r>
    <r>
      <rPr>
        <sz val="9"/>
        <color theme="1"/>
        <rFont val="맑은 고딕"/>
        <family val="2"/>
      </rPr>
      <t>같아야</t>
    </r>
    <r>
      <rPr>
        <sz val="9"/>
        <color theme="1"/>
        <rFont val="Calibri"/>
        <family val="2"/>
      </rPr>
      <t xml:space="preserve"> </t>
    </r>
    <r>
      <rPr>
        <sz val="9"/>
        <color theme="1"/>
        <rFont val="맑은 고딕"/>
        <family val="2"/>
      </rPr>
      <t>합니다</t>
    </r>
    <r>
      <rPr>
        <sz val="9"/>
        <color theme="1"/>
        <rFont val="Calibri"/>
        <family val="2"/>
      </rPr>
      <t>.</t>
    </r>
  </si>
  <si>
    <r>
      <rPr>
        <sz val="9"/>
        <color theme="1"/>
        <rFont val="맑은 고딕"/>
        <family val="2"/>
      </rPr>
      <t>계획진척율</t>
    </r>
    <r>
      <rPr>
        <sz val="9"/>
        <color theme="1"/>
        <rFont val="Calibri"/>
        <family val="2"/>
      </rPr>
      <t xml:space="preserve"> </t>
    </r>
    <r>
      <rPr>
        <sz val="9"/>
        <color theme="1"/>
        <rFont val="맑은 고딕"/>
        <family val="2"/>
      </rPr>
      <t>계산</t>
    </r>
    <r>
      <rPr>
        <sz val="9"/>
        <color theme="1"/>
        <rFont val="Calibri"/>
        <family val="2"/>
      </rPr>
      <t xml:space="preserve"> </t>
    </r>
    <r>
      <rPr>
        <sz val="9"/>
        <color theme="1"/>
        <rFont val="맑은 고딕"/>
        <family val="2"/>
      </rPr>
      <t>기준일자는</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완료일보다</t>
    </r>
    <r>
      <rPr>
        <sz val="9"/>
        <color theme="1"/>
        <rFont val="Calibri"/>
        <family val="2"/>
      </rPr>
      <t xml:space="preserve"> </t>
    </r>
    <r>
      <rPr>
        <sz val="9"/>
        <color theme="1"/>
        <rFont val="맑은 고딕"/>
        <family val="2"/>
      </rPr>
      <t>작거나</t>
    </r>
    <r>
      <rPr>
        <sz val="9"/>
        <color theme="1"/>
        <rFont val="Calibri"/>
        <family val="2"/>
      </rPr>
      <t xml:space="preserve"> </t>
    </r>
    <r>
      <rPr>
        <sz val="9"/>
        <color theme="1"/>
        <rFont val="맑은 고딕"/>
        <family val="2"/>
      </rPr>
      <t>같아야</t>
    </r>
    <r>
      <rPr>
        <sz val="9"/>
        <color theme="1"/>
        <rFont val="Calibri"/>
        <family val="2"/>
      </rPr>
      <t xml:space="preserve"> </t>
    </r>
    <r>
      <rPr>
        <sz val="9"/>
        <color theme="1"/>
        <rFont val="맑은 고딕"/>
        <family val="2"/>
      </rPr>
      <t>합니다</t>
    </r>
    <r>
      <rPr>
        <sz val="9"/>
        <color theme="1"/>
        <rFont val="Calibri"/>
        <family val="2"/>
      </rPr>
      <t>.</t>
    </r>
  </si>
  <si>
    <r>
      <rPr>
        <sz val="9"/>
        <color theme="1"/>
        <rFont val="맑은 고딕"/>
        <family val="2"/>
      </rPr>
      <t>프로그램</t>
    </r>
    <r>
      <rPr>
        <sz val="9"/>
        <color theme="1"/>
        <rFont val="Calibri"/>
        <family val="2"/>
      </rPr>
      <t xml:space="preserve"> </t>
    </r>
    <r>
      <rPr>
        <sz val="9"/>
        <color theme="1"/>
        <rFont val="맑은 고딕"/>
        <family val="2"/>
      </rPr>
      <t>시작</t>
    </r>
    <r>
      <rPr>
        <sz val="9"/>
        <color theme="1"/>
        <rFont val="Calibri"/>
        <family val="2"/>
      </rPr>
      <t xml:space="preserve"> </t>
    </r>
    <r>
      <rPr>
        <sz val="9"/>
        <color theme="1"/>
        <rFont val="맑은 고딕"/>
        <family val="2"/>
      </rPr>
      <t>시</t>
    </r>
    <r>
      <rPr>
        <sz val="9"/>
        <color theme="1"/>
        <rFont val="Calibri"/>
        <family val="2"/>
      </rPr>
      <t xml:space="preserve"> </t>
    </r>
    <r>
      <rPr>
        <sz val="9"/>
        <color theme="1"/>
        <rFont val="맑은 고딕"/>
        <family val="2"/>
      </rPr>
      <t>최신버전</t>
    </r>
    <r>
      <rPr>
        <sz val="9"/>
        <color theme="1"/>
        <rFont val="Calibri"/>
        <family val="2"/>
      </rPr>
      <t xml:space="preserve"> </t>
    </r>
    <r>
      <rPr>
        <sz val="9"/>
        <color theme="1"/>
        <rFont val="맑은 고딕"/>
        <family val="2"/>
      </rPr>
      <t>확인</t>
    </r>
  </si>
  <si>
    <r>
      <rPr>
        <sz val="9"/>
        <color theme="1"/>
        <rFont val="맑은 고딕"/>
        <family val="2"/>
      </rPr>
      <t>산출물</t>
    </r>
    <r>
      <rPr>
        <sz val="9"/>
        <color theme="1"/>
        <rFont val="Calibri"/>
        <family val="2"/>
      </rPr>
      <t xml:space="preserve"> </t>
    </r>
    <r>
      <rPr>
        <sz val="9"/>
        <color theme="1"/>
        <rFont val="맑은 고딕"/>
        <family val="2"/>
      </rPr>
      <t>관리를</t>
    </r>
    <r>
      <rPr>
        <sz val="9"/>
        <color theme="1"/>
        <rFont val="Calibri"/>
        <family val="2"/>
      </rPr>
      <t xml:space="preserve"> </t>
    </r>
    <r>
      <rPr>
        <sz val="9"/>
        <color theme="1"/>
        <rFont val="맑은 고딕"/>
        <family val="2"/>
      </rPr>
      <t>할</t>
    </r>
    <r>
      <rPr>
        <sz val="9"/>
        <color theme="1"/>
        <rFont val="Calibri"/>
        <family val="2"/>
      </rPr>
      <t xml:space="preserve"> </t>
    </r>
    <r>
      <rPr>
        <sz val="9"/>
        <color theme="1"/>
        <rFont val="맑은 고딕"/>
        <family val="2"/>
      </rPr>
      <t>경우에</t>
    </r>
    <r>
      <rPr>
        <sz val="9"/>
        <color theme="1"/>
        <rFont val="Calibri"/>
        <family val="2"/>
      </rPr>
      <t xml:space="preserve"> </t>
    </r>
    <r>
      <rPr>
        <sz val="9"/>
        <color theme="1"/>
        <rFont val="맑은 고딕"/>
        <family val="2"/>
      </rPr>
      <t>체크하세요</t>
    </r>
  </si>
  <si>
    <r>
      <rPr>
        <sz val="9"/>
        <color theme="1"/>
        <rFont val="맑은 고딕"/>
        <family val="2"/>
      </rPr>
      <t>가져올</t>
    </r>
    <r>
      <rPr>
        <sz val="9"/>
        <color theme="1"/>
        <rFont val="Calibri"/>
        <family val="2"/>
      </rPr>
      <t xml:space="preserve"> </t>
    </r>
    <r>
      <rPr>
        <sz val="9"/>
        <color theme="1"/>
        <rFont val="맑은 고딕"/>
        <family val="2"/>
      </rPr>
      <t>파일</t>
    </r>
    <r>
      <rPr>
        <sz val="9"/>
        <color theme="1"/>
        <rFont val="Calibri"/>
        <family val="2"/>
      </rPr>
      <t xml:space="preserve"> </t>
    </r>
    <r>
      <rPr>
        <sz val="9"/>
        <color theme="1"/>
        <rFont val="맑은 고딕"/>
        <family val="2"/>
      </rPr>
      <t>종류</t>
    </r>
    <r>
      <rPr>
        <sz val="9"/>
        <color theme="1"/>
        <rFont val="Calibri"/>
        <family val="2"/>
      </rPr>
      <t xml:space="preserve"> </t>
    </r>
    <r>
      <rPr>
        <sz val="9"/>
        <color theme="1"/>
        <rFont val="맑은 고딕"/>
        <family val="2"/>
      </rPr>
      <t>선택</t>
    </r>
  </si>
  <si>
    <r>
      <t>XLGantt</t>
    </r>
    <r>
      <rPr>
        <sz val="9"/>
        <color theme="1"/>
        <rFont val="맑은 고딕"/>
        <family val="2"/>
      </rPr>
      <t>에서</t>
    </r>
    <r>
      <rPr>
        <sz val="9"/>
        <color theme="1"/>
        <rFont val="Calibri"/>
        <family val="2"/>
      </rPr>
      <t xml:space="preserve"> </t>
    </r>
    <r>
      <rPr>
        <sz val="9"/>
        <color theme="1"/>
        <rFont val="맑은 고딕"/>
        <family val="2"/>
      </rPr>
      <t>사용할</t>
    </r>
    <r>
      <rPr>
        <sz val="9"/>
        <color theme="1"/>
        <rFont val="Calibri"/>
        <family val="2"/>
      </rPr>
      <t xml:space="preserve"> </t>
    </r>
    <r>
      <rPr>
        <sz val="9"/>
        <color theme="1"/>
        <rFont val="맑은 고딕"/>
        <family val="2"/>
      </rPr>
      <t>언어</t>
    </r>
    <r>
      <rPr>
        <sz val="9"/>
        <color theme="1"/>
        <rFont val="Calibri"/>
        <family val="2"/>
      </rPr>
      <t xml:space="preserve"> </t>
    </r>
    <r>
      <rPr>
        <sz val="9"/>
        <color theme="1"/>
        <rFont val="맑은 고딕"/>
        <family val="2"/>
      </rPr>
      <t>선택</t>
    </r>
  </si>
  <si>
    <r>
      <t>XLGantt</t>
    </r>
    <r>
      <rPr>
        <sz val="9"/>
        <color theme="1"/>
        <rFont val="맑은 고딕"/>
        <family val="2"/>
      </rPr>
      <t>에서</t>
    </r>
    <r>
      <rPr>
        <sz val="9"/>
        <color theme="1"/>
        <rFont val="Calibri"/>
        <family val="2"/>
      </rPr>
      <t xml:space="preserve"> </t>
    </r>
    <r>
      <rPr>
        <sz val="9"/>
        <color theme="1"/>
        <rFont val="맑은 고딕"/>
        <family val="2"/>
      </rPr>
      <t>사용할</t>
    </r>
    <r>
      <rPr>
        <sz val="9"/>
        <color theme="1"/>
        <rFont val="Calibri"/>
        <family val="2"/>
      </rPr>
      <t xml:space="preserve"> </t>
    </r>
    <r>
      <rPr>
        <sz val="9"/>
        <color theme="1"/>
        <rFont val="맑은 고딕"/>
        <family val="2"/>
      </rPr>
      <t>언어를</t>
    </r>
    <r>
      <rPr>
        <sz val="9"/>
        <color theme="1"/>
        <rFont val="Calibri"/>
        <family val="2"/>
      </rPr>
      <t xml:space="preserve"> </t>
    </r>
    <r>
      <rPr>
        <sz val="9"/>
        <color theme="1"/>
        <rFont val="맑은 고딕"/>
        <family val="2"/>
      </rPr>
      <t>선택하세요</t>
    </r>
    <r>
      <rPr>
        <sz val="9"/>
        <color theme="1"/>
        <rFont val="Calibri"/>
        <family val="2"/>
      </rPr>
      <t>.</t>
    </r>
  </si>
  <si>
    <r>
      <rPr>
        <sz val="9"/>
        <color theme="1"/>
        <rFont val="맑은 고딕"/>
        <family val="2"/>
      </rPr>
      <t>언어를</t>
    </r>
    <r>
      <rPr>
        <sz val="9"/>
        <color theme="1"/>
        <rFont val="Calibri"/>
        <family val="2"/>
      </rPr>
      <t xml:space="preserve"> </t>
    </r>
    <r>
      <rPr>
        <sz val="9"/>
        <color theme="1"/>
        <rFont val="맑은 고딕"/>
        <family val="2"/>
      </rPr>
      <t>선택하세요</t>
    </r>
  </si>
  <si>
    <r>
      <rPr>
        <sz val="9"/>
        <color theme="1"/>
        <rFont val="맑은 고딕"/>
        <family val="2"/>
      </rPr>
      <t>가져오기</t>
    </r>
    <r>
      <rPr>
        <sz val="9"/>
        <color theme="1"/>
        <rFont val="Calibri"/>
        <family val="2"/>
      </rPr>
      <t xml:space="preserve"> </t>
    </r>
    <r>
      <rPr>
        <sz val="9"/>
        <color theme="1"/>
        <rFont val="맑은 고딕"/>
        <family val="2"/>
      </rPr>
      <t>옵션을</t>
    </r>
    <r>
      <rPr>
        <sz val="9"/>
        <color theme="1"/>
        <rFont val="Calibri"/>
        <family val="2"/>
      </rPr>
      <t xml:space="preserve"> </t>
    </r>
    <r>
      <rPr>
        <sz val="9"/>
        <color theme="1"/>
        <rFont val="맑은 고딕"/>
        <family val="2"/>
      </rPr>
      <t>선택하세요</t>
    </r>
    <r>
      <rPr>
        <sz val="9"/>
        <color theme="1"/>
        <rFont val="Calibri"/>
        <family val="2"/>
      </rPr>
      <t>.</t>
    </r>
  </si>
  <si>
    <r>
      <rPr>
        <sz val="9"/>
        <color theme="1"/>
        <rFont val="맑은 고딕"/>
        <family val="2"/>
      </rPr>
      <t>컴퓨터</t>
    </r>
    <r>
      <rPr>
        <sz val="9"/>
        <color theme="1"/>
        <rFont val="Calibri"/>
        <family val="2"/>
      </rPr>
      <t xml:space="preserve"> O/S</t>
    </r>
    <r>
      <rPr>
        <sz val="9"/>
        <color theme="1"/>
        <rFont val="맑은 고딕"/>
        <family val="2"/>
      </rPr>
      <t>와</t>
    </r>
    <r>
      <rPr>
        <sz val="9"/>
        <color theme="1"/>
        <rFont val="Calibri"/>
        <family val="2"/>
      </rPr>
      <t xml:space="preserve"> </t>
    </r>
    <r>
      <rPr>
        <sz val="9"/>
        <color theme="1"/>
        <rFont val="맑은 고딕"/>
        <family val="2"/>
      </rPr>
      <t>관계없이</t>
    </r>
    <r>
      <rPr>
        <sz val="9"/>
        <color theme="1"/>
        <rFont val="Calibri"/>
        <family val="2"/>
      </rPr>
      <t xml:space="preserve"> </t>
    </r>
    <r>
      <rPr>
        <sz val="9"/>
        <color theme="1"/>
        <rFont val="맑은 고딕"/>
        <family val="2"/>
      </rPr>
      <t>직접</t>
    </r>
    <r>
      <rPr>
        <sz val="9"/>
        <color theme="1"/>
        <rFont val="Calibri"/>
        <family val="2"/>
      </rPr>
      <t xml:space="preserve"> </t>
    </r>
    <r>
      <rPr>
        <sz val="9"/>
        <color theme="1"/>
        <rFont val="맑은 고딕"/>
        <family val="2"/>
      </rPr>
      <t>선택</t>
    </r>
  </si>
  <si>
    <r>
      <rPr>
        <sz val="9"/>
        <color theme="1"/>
        <rFont val="맑은 고딕"/>
        <family val="2"/>
      </rPr>
      <t>산출물</t>
    </r>
    <r>
      <rPr>
        <sz val="9"/>
        <color theme="1"/>
        <rFont val="Calibri"/>
        <family val="2"/>
      </rPr>
      <t xml:space="preserve"> </t>
    </r>
    <r>
      <rPr>
        <sz val="9"/>
        <color theme="1"/>
        <rFont val="맑은 고딕"/>
        <family val="2"/>
      </rPr>
      <t>종류를</t>
    </r>
    <r>
      <rPr>
        <sz val="9"/>
        <color theme="1"/>
        <rFont val="Calibri"/>
        <family val="2"/>
      </rPr>
      <t xml:space="preserve"> </t>
    </r>
    <r>
      <rPr>
        <sz val="9"/>
        <color theme="1"/>
        <rFont val="맑은 고딕"/>
        <family val="2"/>
      </rPr>
      <t>선택하세요</t>
    </r>
  </si>
  <si>
    <r>
      <rPr>
        <sz val="9"/>
        <color theme="1"/>
        <rFont val="맑은 고딕"/>
        <family val="2"/>
      </rPr>
      <t>현재</t>
    </r>
    <r>
      <rPr>
        <sz val="9"/>
        <color theme="1"/>
        <rFont val="Calibri"/>
        <family val="2"/>
      </rPr>
      <t xml:space="preserve"> </t>
    </r>
    <r>
      <rPr>
        <sz val="9"/>
        <color theme="1"/>
        <rFont val="맑은 고딕"/>
        <family val="2"/>
      </rPr>
      <t>사용중인</t>
    </r>
    <r>
      <rPr>
        <sz val="9"/>
        <color theme="1"/>
        <rFont val="Calibri"/>
        <family val="2"/>
      </rPr>
      <t xml:space="preserve"> </t>
    </r>
    <r>
      <rPr>
        <sz val="9"/>
        <color theme="1"/>
        <rFont val="맑은 고딕"/>
        <family val="2"/>
      </rPr>
      <t>버전</t>
    </r>
  </si>
  <si>
    <r>
      <rPr>
        <sz val="9"/>
        <color theme="1"/>
        <rFont val="맑은 고딕"/>
        <family val="2"/>
      </rPr>
      <t>일</t>
    </r>
    <r>
      <rPr>
        <sz val="9"/>
        <color theme="1"/>
        <rFont val="Calibri"/>
        <family val="2"/>
      </rPr>
      <t xml:space="preserve"> (</t>
    </r>
    <r>
      <rPr>
        <sz val="9"/>
        <color theme="1"/>
        <rFont val="맑은 고딕"/>
        <family val="2"/>
      </rPr>
      <t>월평균</t>
    </r>
    <r>
      <rPr>
        <sz val="9"/>
        <color theme="1"/>
        <rFont val="Calibri"/>
        <family val="2"/>
      </rPr>
      <t xml:space="preserve"> </t>
    </r>
    <r>
      <rPr>
        <sz val="9"/>
        <color theme="1"/>
        <rFont val="맑은 고딕"/>
        <family val="2"/>
      </rPr>
      <t>근무일수</t>
    </r>
    <r>
      <rPr>
        <sz val="9"/>
        <color theme="1"/>
        <rFont val="Calibri"/>
        <family val="2"/>
      </rPr>
      <t>)</t>
    </r>
  </si>
  <si>
    <r>
      <rPr>
        <sz val="9"/>
        <color theme="1"/>
        <rFont val="맑은 고딕"/>
        <family val="2"/>
      </rPr>
      <t>휴무일로</t>
    </r>
    <r>
      <rPr>
        <sz val="9"/>
        <color theme="1"/>
        <rFont val="Calibri"/>
        <family val="2"/>
      </rPr>
      <t xml:space="preserve"> </t>
    </r>
    <r>
      <rPr>
        <sz val="9"/>
        <color theme="1"/>
        <rFont val="맑은 고딕"/>
        <family val="2"/>
      </rPr>
      <t>계산되는</t>
    </r>
    <r>
      <rPr>
        <sz val="9"/>
        <color theme="1"/>
        <rFont val="Calibri"/>
        <family val="2"/>
      </rPr>
      <t xml:space="preserve"> </t>
    </r>
    <r>
      <rPr>
        <sz val="9"/>
        <color theme="1"/>
        <rFont val="맑은 고딕"/>
        <family val="2"/>
      </rPr>
      <t>날</t>
    </r>
  </si>
  <si>
    <r>
      <rPr>
        <sz val="9"/>
        <color theme="1"/>
        <rFont val="맑은 고딕"/>
        <family val="2"/>
      </rPr>
      <t>산출물</t>
    </r>
    <r>
      <rPr>
        <sz val="9"/>
        <color theme="1"/>
        <rFont val="Calibri"/>
        <family val="2"/>
      </rPr>
      <t xml:space="preserve"> </t>
    </r>
    <r>
      <rPr>
        <sz val="9"/>
        <color theme="1"/>
        <rFont val="맑은 고딕"/>
        <family val="2"/>
      </rPr>
      <t>필드입니다</t>
    </r>
    <r>
      <rPr>
        <sz val="9"/>
        <color theme="1"/>
        <rFont val="Calibri"/>
        <family val="2"/>
      </rPr>
      <t>.</t>
    </r>
  </si>
  <si>
    <r>
      <rPr>
        <sz val="9"/>
        <color theme="1"/>
        <rFont val="맑은 고딕"/>
        <family val="2"/>
      </rPr>
      <t>산출물</t>
    </r>
    <r>
      <rPr>
        <sz val="9"/>
        <color theme="1"/>
        <rFont val="Calibri"/>
        <family val="2"/>
      </rPr>
      <t xml:space="preserve"> </t>
    </r>
    <r>
      <rPr>
        <sz val="9"/>
        <color theme="1"/>
        <rFont val="맑은 고딕"/>
        <family val="2"/>
      </rPr>
      <t>종류가</t>
    </r>
    <r>
      <rPr>
        <sz val="9"/>
        <color theme="1"/>
        <rFont val="Calibri"/>
        <family val="2"/>
      </rPr>
      <t xml:space="preserve"> </t>
    </r>
    <r>
      <rPr>
        <sz val="9"/>
        <color theme="1"/>
        <rFont val="맑은 고딕"/>
        <family val="2"/>
      </rPr>
      <t>선택되지</t>
    </r>
    <r>
      <rPr>
        <sz val="9"/>
        <color theme="1"/>
        <rFont val="Calibri"/>
        <family val="2"/>
      </rPr>
      <t xml:space="preserve"> </t>
    </r>
    <r>
      <rPr>
        <sz val="9"/>
        <color theme="1"/>
        <rFont val="맑은 고딕"/>
        <family val="2"/>
      </rPr>
      <t>않았습니다</t>
    </r>
  </si>
  <si>
    <r>
      <rPr>
        <sz val="9"/>
        <color theme="1"/>
        <rFont val="맑은 고딕"/>
        <family val="2"/>
      </rPr>
      <t>실적진척율</t>
    </r>
    <r>
      <rPr>
        <sz val="9"/>
        <color theme="1"/>
        <rFont val="Calibri"/>
        <family val="2"/>
      </rPr>
      <t xml:space="preserve"> </t>
    </r>
    <r>
      <rPr>
        <sz val="9"/>
        <color theme="1"/>
        <rFont val="맑은 고딕"/>
        <family val="2"/>
      </rPr>
      <t>표시</t>
    </r>
  </si>
  <si>
    <r>
      <rPr>
        <sz val="9"/>
        <color theme="1"/>
        <rFont val="맑은 고딕"/>
        <family val="2"/>
      </rPr>
      <t>날짜</t>
    </r>
    <r>
      <rPr>
        <sz val="9"/>
        <color theme="1"/>
        <rFont val="Calibri"/>
        <family val="2"/>
      </rPr>
      <t xml:space="preserve"> </t>
    </r>
    <r>
      <rPr>
        <sz val="9"/>
        <color theme="1"/>
        <rFont val="맑은 고딕"/>
        <family val="2"/>
      </rPr>
      <t>표시</t>
    </r>
  </si>
  <si>
    <r>
      <rPr>
        <sz val="9"/>
        <color theme="1"/>
        <rFont val="맑은 고딕"/>
        <family val="2"/>
      </rPr>
      <t>완료된</t>
    </r>
    <r>
      <rPr>
        <sz val="9"/>
        <color theme="1"/>
        <rFont val="Calibri"/>
        <family val="2"/>
      </rPr>
      <t xml:space="preserve"> </t>
    </r>
    <r>
      <rPr>
        <sz val="9"/>
        <color theme="1"/>
        <rFont val="맑은 고딕"/>
        <family val="2"/>
      </rPr>
      <t>작업의</t>
    </r>
    <r>
      <rPr>
        <sz val="9"/>
        <color theme="1"/>
        <rFont val="Calibri"/>
        <family val="2"/>
      </rPr>
      <t xml:space="preserve"> </t>
    </r>
    <r>
      <rPr>
        <sz val="9"/>
        <color theme="1"/>
        <rFont val="맑은 고딕"/>
        <family val="2"/>
      </rPr>
      <t>폰트색상</t>
    </r>
    <r>
      <rPr>
        <sz val="9"/>
        <color theme="1"/>
        <rFont val="Calibri"/>
        <family val="2"/>
      </rPr>
      <t xml:space="preserve"> </t>
    </r>
    <r>
      <rPr>
        <sz val="9"/>
        <color theme="1"/>
        <rFont val="맑은 고딕"/>
        <family val="2"/>
      </rPr>
      <t>회색표시</t>
    </r>
  </si>
  <si>
    <r>
      <rPr>
        <sz val="9"/>
        <color theme="1"/>
        <rFont val="맑은 고딕"/>
        <family val="2"/>
      </rPr>
      <t>작업그룹의</t>
    </r>
    <r>
      <rPr>
        <sz val="9"/>
        <color theme="1"/>
        <rFont val="Calibri"/>
        <family val="2"/>
      </rPr>
      <t xml:space="preserve"> </t>
    </r>
    <r>
      <rPr>
        <sz val="9"/>
        <color theme="1"/>
        <rFont val="맑은 고딕"/>
        <family val="2"/>
      </rPr>
      <t>배경색</t>
    </r>
    <r>
      <rPr>
        <sz val="9"/>
        <color theme="1"/>
        <rFont val="Calibri"/>
        <family val="2"/>
      </rPr>
      <t xml:space="preserve"> </t>
    </r>
    <r>
      <rPr>
        <sz val="9"/>
        <color theme="1"/>
        <rFont val="맑은 고딕"/>
        <family val="2"/>
      </rPr>
      <t>회색표시</t>
    </r>
  </si>
  <si>
    <r>
      <rPr>
        <sz val="9"/>
        <color theme="1"/>
        <rFont val="맑은 고딕"/>
        <family val="2"/>
      </rPr>
      <t>계획진척율</t>
    </r>
    <r>
      <rPr>
        <sz val="9"/>
        <color theme="1"/>
        <rFont val="Calibri"/>
        <family val="2"/>
      </rPr>
      <t xml:space="preserve"> </t>
    </r>
    <r>
      <rPr>
        <sz val="9"/>
        <color theme="1"/>
        <rFont val="맑은 고딕"/>
        <family val="2"/>
      </rPr>
      <t>표시</t>
    </r>
  </si>
  <si>
    <r>
      <rPr>
        <sz val="9"/>
        <color theme="1"/>
        <rFont val="맑은 고딕"/>
        <family val="2"/>
      </rPr>
      <t>담당</t>
    </r>
    <r>
      <rPr>
        <sz val="9"/>
        <color theme="1"/>
        <rFont val="Calibri"/>
        <family val="2"/>
      </rPr>
      <t xml:space="preserve"> </t>
    </r>
    <r>
      <rPr>
        <sz val="9"/>
        <color theme="1"/>
        <rFont val="맑은 고딕"/>
        <family val="2"/>
      </rPr>
      <t>표시</t>
    </r>
  </si>
  <si>
    <r>
      <rPr>
        <sz val="9"/>
        <color theme="1"/>
        <rFont val="맑은 고딕"/>
        <family val="2"/>
      </rPr>
      <t>작업명</t>
    </r>
    <r>
      <rPr>
        <sz val="9"/>
        <color theme="1"/>
        <rFont val="Calibri"/>
        <family val="2"/>
      </rPr>
      <t xml:space="preserve"> </t>
    </r>
    <r>
      <rPr>
        <sz val="9"/>
        <color theme="1"/>
        <rFont val="맑은 고딕"/>
        <family val="2"/>
      </rPr>
      <t>표시</t>
    </r>
  </si>
  <si>
    <r>
      <rPr>
        <sz val="9"/>
        <color theme="1"/>
        <rFont val="맑은 고딕"/>
        <family val="2"/>
      </rPr>
      <t>같은</t>
    </r>
    <r>
      <rPr>
        <sz val="9"/>
        <color theme="1"/>
        <rFont val="Calibri"/>
        <family val="2"/>
      </rPr>
      <t xml:space="preserve"> </t>
    </r>
    <r>
      <rPr>
        <sz val="9"/>
        <color theme="1"/>
        <rFont val="맑은 고딕"/>
        <family val="2"/>
      </rPr>
      <t>필드에</t>
    </r>
    <r>
      <rPr>
        <sz val="9"/>
        <color theme="1"/>
        <rFont val="Calibri"/>
        <family val="2"/>
      </rPr>
      <t xml:space="preserve"> </t>
    </r>
    <r>
      <rPr>
        <sz val="9"/>
        <color theme="1"/>
        <rFont val="맑은 고딕"/>
        <family val="2"/>
      </rPr>
      <t>작업명</t>
    </r>
    <r>
      <rPr>
        <sz val="9"/>
        <color theme="1"/>
        <rFont val="Calibri"/>
        <family val="2"/>
      </rPr>
      <t xml:space="preserve"> </t>
    </r>
    <r>
      <rPr>
        <sz val="9"/>
        <color theme="1"/>
        <rFont val="맑은 고딕"/>
        <family val="2"/>
      </rPr>
      <t>표시</t>
    </r>
  </si>
  <si>
    <r>
      <rPr>
        <sz val="9"/>
        <color theme="1"/>
        <rFont val="맑은 고딕"/>
        <family val="2"/>
      </rPr>
      <t>프로젝트</t>
    </r>
    <r>
      <rPr>
        <sz val="9"/>
        <color theme="1"/>
        <rFont val="Calibri"/>
        <family val="2"/>
      </rPr>
      <t xml:space="preserve"> </t>
    </r>
    <r>
      <rPr>
        <sz val="9"/>
        <color theme="1"/>
        <rFont val="맑은 고딕"/>
        <family val="2"/>
      </rPr>
      <t>전체의</t>
    </r>
    <r>
      <rPr>
        <sz val="9"/>
        <color theme="1"/>
        <rFont val="Calibri"/>
        <family val="2"/>
      </rPr>
      <t xml:space="preserve"> </t>
    </r>
    <r>
      <rPr>
        <sz val="9"/>
        <color theme="1"/>
        <rFont val="맑은 고딕"/>
        <family val="2"/>
      </rPr>
      <t>작업량을</t>
    </r>
    <r>
      <rPr>
        <sz val="9"/>
        <color theme="1"/>
        <rFont val="Calibri"/>
        <family val="2"/>
      </rPr>
      <t xml:space="preserve"> Man/Day</t>
    </r>
    <r>
      <rPr>
        <sz val="9"/>
        <color theme="1"/>
        <rFont val="맑은 고딕"/>
        <family val="2"/>
      </rPr>
      <t>로</t>
    </r>
    <r>
      <rPr>
        <sz val="9"/>
        <color theme="1"/>
        <rFont val="Calibri"/>
        <family val="2"/>
      </rPr>
      <t xml:space="preserve"> </t>
    </r>
    <r>
      <rPr>
        <sz val="9"/>
        <color theme="1"/>
        <rFont val="맑은 고딕"/>
        <family val="2"/>
      </rPr>
      <t>표시한다</t>
    </r>
    <r>
      <rPr>
        <sz val="9"/>
        <color theme="1"/>
        <rFont val="Calibri"/>
        <family val="2"/>
      </rPr>
      <t xml:space="preserve">. </t>
    </r>
    <r>
      <rPr>
        <sz val="9"/>
        <color theme="1"/>
        <rFont val="맑은 고딕"/>
        <family val="2"/>
      </rPr>
      <t>가중치를</t>
    </r>
    <r>
      <rPr>
        <sz val="9"/>
        <color theme="1"/>
        <rFont val="Calibri"/>
        <family val="2"/>
      </rPr>
      <t xml:space="preserve"> </t>
    </r>
    <r>
      <rPr>
        <sz val="9"/>
        <color theme="1"/>
        <rFont val="맑은 고딕"/>
        <family val="2"/>
      </rPr>
      <t>적용한</t>
    </r>
    <r>
      <rPr>
        <sz val="9"/>
        <color theme="1"/>
        <rFont val="Calibri"/>
        <family val="2"/>
      </rPr>
      <t xml:space="preserve"> </t>
    </r>
    <r>
      <rPr>
        <sz val="9"/>
        <color theme="1"/>
        <rFont val="맑은 고딕"/>
        <family val="2"/>
      </rPr>
      <t>값이다</t>
    </r>
    <r>
      <rPr>
        <sz val="9"/>
        <color theme="1"/>
        <rFont val="Calibri"/>
        <family val="2"/>
      </rPr>
      <t>.</t>
    </r>
  </si>
  <si>
    <r>
      <t>Level</t>
    </r>
    <r>
      <rPr>
        <sz val="9"/>
        <color theme="1"/>
        <rFont val="맑은 고딕"/>
        <family val="2"/>
      </rPr>
      <t>별로</t>
    </r>
    <r>
      <rPr>
        <sz val="9"/>
        <color theme="1"/>
        <rFont val="Calibri"/>
        <family val="2"/>
      </rPr>
      <t xml:space="preserve"> </t>
    </r>
    <r>
      <rPr>
        <sz val="9"/>
        <color theme="1"/>
        <rFont val="맑은 고딕"/>
        <family val="2"/>
      </rPr>
      <t>다른</t>
    </r>
    <r>
      <rPr>
        <sz val="9"/>
        <color theme="1"/>
        <rFont val="Calibri"/>
        <family val="2"/>
      </rPr>
      <t xml:space="preserve"> </t>
    </r>
    <r>
      <rPr>
        <sz val="9"/>
        <color theme="1"/>
        <rFont val="맑은 고딕"/>
        <family val="2"/>
      </rPr>
      <t>필드에</t>
    </r>
    <r>
      <rPr>
        <sz val="9"/>
        <color theme="1"/>
        <rFont val="Calibri"/>
        <family val="2"/>
      </rPr>
      <t xml:space="preserve"> </t>
    </r>
    <r>
      <rPr>
        <sz val="9"/>
        <color theme="1"/>
        <rFont val="맑은 고딕"/>
        <family val="2"/>
      </rPr>
      <t>작업명</t>
    </r>
    <r>
      <rPr>
        <sz val="9"/>
        <color theme="1"/>
        <rFont val="Calibri"/>
        <family val="2"/>
      </rPr>
      <t xml:space="preserve"> </t>
    </r>
    <r>
      <rPr>
        <sz val="9"/>
        <color theme="1"/>
        <rFont val="맑은 고딕"/>
        <family val="2"/>
      </rPr>
      <t>표시</t>
    </r>
  </si>
  <si>
    <r>
      <rPr>
        <sz val="9"/>
        <color theme="1"/>
        <rFont val="맑은 고딕"/>
        <family val="2"/>
      </rPr>
      <t>프로그램</t>
    </r>
    <r>
      <rPr>
        <sz val="9"/>
        <color theme="1"/>
        <rFont val="Calibri"/>
        <family val="2"/>
      </rPr>
      <t xml:space="preserve"> </t>
    </r>
    <r>
      <rPr>
        <sz val="9"/>
        <color theme="1"/>
        <rFont val="맑은 고딕"/>
        <family val="2"/>
      </rPr>
      <t>최신버전</t>
    </r>
    <r>
      <rPr>
        <sz val="9"/>
        <color theme="1"/>
        <rFont val="Calibri"/>
        <family val="2"/>
      </rPr>
      <t xml:space="preserve"> </t>
    </r>
    <r>
      <rPr>
        <sz val="9"/>
        <color theme="1"/>
        <rFont val="맑은 고딕"/>
        <family val="2"/>
      </rPr>
      <t>다운로드</t>
    </r>
  </si>
  <si>
    <r>
      <t xml:space="preserve">Gantt chart </t>
    </r>
    <r>
      <rPr>
        <sz val="9"/>
        <color theme="1"/>
        <rFont val="맑은 고딕"/>
        <family val="2"/>
      </rPr>
      <t>그리기</t>
    </r>
    <r>
      <rPr>
        <sz val="9"/>
        <color theme="1"/>
        <rFont val="Calibri"/>
        <family val="2"/>
      </rPr>
      <t xml:space="preserve"> </t>
    </r>
    <r>
      <rPr>
        <sz val="9"/>
        <color theme="1"/>
        <rFont val="맑은 고딕"/>
        <family val="2"/>
      </rPr>
      <t>작업</t>
    </r>
  </si>
  <si>
    <r>
      <rPr>
        <sz val="9"/>
        <color theme="1"/>
        <rFont val="맑은 고딕"/>
        <family val="2"/>
      </rPr>
      <t>진척율선</t>
    </r>
    <r>
      <rPr>
        <sz val="9"/>
        <color theme="1"/>
        <rFont val="Calibri"/>
        <family val="2"/>
      </rPr>
      <t xml:space="preserve"> </t>
    </r>
    <r>
      <rPr>
        <sz val="9"/>
        <color theme="1"/>
        <rFont val="맑은 고딕"/>
        <family val="2"/>
      </rPr>
      <t>그리기</t>
    </r>
  </si>
  <si>
    <r>
      <rPr>
        <sz val="9"/>
        <color theme="1"/>
        <rFont val="맑은 고딕"/>
        <family val="2"/>
      </rPr>
      <t>기간</t>
    </r>
    <r>
      <rPr>
        <sz val="9"/>
        <color theme="1"/>
        <rFont val="Calibri"/>
        <family val="2"/>
      </rPr>
      <t xml:space="preserve"> </t>
    </r>
    <r>
      <rPr>
        <sz val="9"/>
        <color theme="1"/>
        <rFont val="맑은 고딕"/>
        <family val="2"/>
      </rPr>
      <t>지정</t>
    </r>
  </si>
  <si>
    <r>
      <rPr>
        <sz val="9"/>
        <color theme="1"/>
        <rFont val="맑은 고딕"/>
        <family val="2"/>
      </rPr>
      <t>작업</t>
    </r>
    <r>
      <rPr>
        <sz val="9"/>
        <color theme="1"/>
        <rFont val="Calibri"/>
        <family val="2"/>
      </rPr>
      <t xml:space="preserve"> </t>
    </r>
    <r>
      <rPr>
        <sz val="9"/>
        <color theme="1"/>
        <rFont val="맑은 고딕"/>
        <family val="2"/>
      </rPr>
      <t>정보</t>
    </r>
  </si>
  <si>
    <r>
      <rPr>
        <sz val="9"/>
        <color theme="1"/>
        <rFont val="맑은 고딕"/>
        <family val="2"/>
      </rPr>
      <t>사용할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있는</t>
    </r>
    <r>
      <rPr>
        <sz val="9"/>
        <color theme="1"/>
        <rFont val="Calibri"/>
        <family val="2"/>
      </rPr>
      <t xml:space="preserve"> </t>
    </r>
    <r>
      <rPr>
        <sz val="9"/>
        <color theme="1"/>
        <rFont val="맑은 고딕"/>
        <family val="2"/>
      </rPr>
      <t>언어</t>
    </r>
  </si>
  <si>
    <r>
      <rPr>
        <sz val="9"/>
        <color theme="1"/>
        <rFont val="맑은 고딕"/>
        <family val="2"/>
      </rPr>
      <t>오류</t>
    </r>
    <r>
      <rPr>
        <sz val="9"/>
        <color theme="1"/>
        <rFont val="Calibri"/>
        <family val="2"/>
      </rPr>
      <t xml:space="preserve">! </t>
    </r>
    <r>
      <rPr>
        <sz val="9"/>
        <color theme="1"/>
        <rFont val="맑은 고딕"/>
        <family val="2"/>
      </rPr>
      <t>계산된</t>
    </r>
    <r>
      <rPr>
        <sz val="9"/>
        <color theme="1"/>
        <rFont val="Calibri"/>
        <family val="2"/>
      </rPr>
      <t xml:space="preserve"> Total Man-Day</t>
    </r>
    <r>
      <rPr>
        <sz val="9"/>
        <color theme="1"/>
        <rFont val="맑은 고딕"/>
        <family val="2"/>
      </rPr>
      <t>가</t>
    </r>
    <r>
      <rPr>
        <sz val="9"/>
        <color theme="1"/>
        <rFont val="Calibri"/>
        <family val="2"/>
      </rPr>
      <t xml:space="preserve"> {} sheet</t>
    </r>
    <r>
      <rPr>
        <sz val="9"/>
        <color theme="1"/>
        <rFont val="맑은 고딕"/>
        <family val="2"/>
      </rPr>
      <t>의</t>
    </r>
    <r>
      <rPr>
        <sz val="9"/>
        <color theme="1"/>
        <rFont val="Calibri"/>
        <family val="2"/>
      </rPr>
      <t xml:space="preserve"> Total Man-Day</t>
    </r>
    <r>
      <rPr>
        <sz val="9"/>
        <color theme="1"/>
        <rFont val="맑은 고딕"/>
        <family val="2"/>
      </rPr>
      <t>와</t>
    </r>
    <r>
      <rPr>
        <sz val="9"/>
        <color theme="1"/>
        <rFont val="Calibri"/>
        <family val="2"/>
      </rPr>
      <t xml:space="preserve"> </t>
    </r>
    <r>
      <rPr>
        <sz val="9"/>
        <color theme="1"/>
        <rFont val="맑은 고딕"/>
        <family val="2"/>
      </rPr>
      <t>다릅니다</t>
    </r>
    <r>
      <rPr>
        <sz val="9"/>
        <color theme="1"/>
        <rFont val="Calibri"/>
        <family val="2"/>
      </rPr>
      <t>.</t>
    </r>
  </si>
  <si>
    <r>
      <rPr>
        <sz val="9"/>
        <color theme="1"/>
        <rFont val="맑은 고딕"/>
        <family val="2"/>
      </rPr>
      <t>작업</t>
    </r>
    <r>
      <rPr>
        <sz val="9"/>
        <color theme="1"/>
        <rFont val="Calibri"/>
        <family val="2"/>
      </rPr>
      <t xml:space="preserve"> </t>
    </r>
    <r>
      <rPr>
        <sz val="9"/>
        <color theme="1"/>
        <rFont val="맑은 고딕"/>
        <family val="2"/>
      </rPr>
      <t>중</t>
    </r>
    <r>
      <rPr>
        <sz val="9"/>
        <color theme="1"/>
        <rFont val="Calibri"/>
        <family val="2"/>
      </rPr>
      <t xml:space="preserve"> </t>
    </r>
    <r>
      <rPr>
        <sz val="9"/>
        <color theme="1"/>
        <rFont val="맑은 고딕"/>
        <family val="2"/>
      </rPr>
      <t>에러가</t>
    </r>
    <r>
      <rPr>
        <sz val="9"/>
        <color theme="1"/>
        <rFont val="Calibri"/>
        <family val="2"/>
      </rPr>
      <t xml:space="preserve"> </t>
    </r>
    <r>
      <rPr>
        <sz val="9"/>
        <color theme="1"/>
        <rFont val="맑은 고딕"/>
        <family val="2"/>
      </rPr>
      <t>발생했습니다</t>
    </r>
    <r>
      <rPr>
        <sz val="9"/>
        <color theme="1"/>
        <rFont val="Calibri"/>
        <family val="2"/>
      </rPr>
      <t xml:space="preserve">. </t>
    </r>
    <r>
      <rPr>
        <sz val="9"/>
        <color theme="1"/>
        <rFont val="맑은 고딕"/>
        <family val="2"/>
      </rPr>
      <t>원인은</t>
    </r>
    <r>
      <rPr>
        <sz val="9"/>
        <color theme="1"/>
        <rFont val="Calibri"/>
        <family val="2"/>
      </rPr>
      <t xml:space="preserve"> </t>
    </r>
    <r>
      <rPr>
        <sz val="9"/>
        <color theme="1"/>
        <rFont val="맑은 고딕"/>
        <family val="2"/>
      </rPr>
      <t>다음</t>
    </r>
    <r>
      <rPr>
        <sz val="9"/>
        <color theme="1"/>
        <rFont val="Calibri"/>
        <family val="2"/>
      </rPr>
      <t xml:space="preserve"> </t>
    </r>
    <r>
      <rPr>
        <sz val="9"/>
        <color theme="1"/>
        <rFont val="맑은 고딕"/>
        <family val="2"/>
      </rPr>
      <t>중</t>
    </r>
    <r>
      <rPr>
        <sz val="9"/>
        <color theme="1"/>
        <rFont val="Calibri"/>
        <family val="2"/>
      </rPr>
      <t xml:space="preserve"> </t>
    </r>
    <r>
      <rPr>
        <sz val="9"/>
        <color theme="1"/>
        <rFont val="맑은 고딕"/>
        <family val="2"/>
      </rPr>
      <t>하나일</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 xml:space="preserve">.\n - </t>
    </r>
    <r>
      <rPr>
        <sz val="9"/>
        <color theme="1"/>
        <rFont val="맑은 고딕"/>
        <family val="2"/>
      </rPr>
      <t>파일이</t>
    </r>
    <r>
      <rPr>
        <sz val="9"/>
        <color theme="1"/>
        <rFont val="Calibri"/>
        <family val="2"/>
      </rPr>
      <t xml:space="preserve"> </t>
    </r>
    <r>
      <rPr>
        <sz val="9"/>
        <color theme="1"/>
        <rFont val="맑은 고딕"/>
        <family val="2"/>
      </rPr>
      <t>비정상적인</t>
    </r>
    <r>
      <rPr>
        <sz val="9"/>
        <color theme="1"/>
        <rFont val="Calibri"/>
        <family val="2"/>
      </rPr>
      <t xml:space="preserve"> </t>
    </r>
    <r>
      <rPr>
        <sz val="9"/>
        <color theme="1"/>
        <rFont val="맑은 고딕"/>
        <family val="2"/>
      </rPr>
      <t>경우</t>
    </r>
    <r>
      <rPr>
        <sz val="9"/>
        <color theme="1"/>
        <rFont val="Calibri"/>
        <family val="2"/>
      </rPr>
      <t>(XLGantt</t>
    </r>
    <r>
      <rPr>
        <sz val="9"/>
        <color theme="1"/>
        <rFont val="맑은 고딕"/>
        <family val="2"/>
      </rPr>
      <t>파일이</t>
    </r>
    <r>
      <rPr>
        <sz val="9"/>
        <color theme="1"/>
        <rFont val="Calibri"/>
        <family val="2"/>
      </rPr>
      <t xml:space="preserve"> </t>
    </r>
    <r>
      <rPr>
        <sz val="9"/>
        <color theme="1"/>
        <rFont val="맑은 고딕"/>
        <family val="2"/>
      </rPr>
      <t>손상된</t>
    </r>
    <r>
      <rPr>
        <sz val="9"/>
        <color theme="1"/>
        <rFont val="Calibri"/>
        <family val="2"/>
      </rPr>
      <t xml:space="preserve"> </t>
    </r>
    <r>
      <rPr>
        <sz val="9"/>
        <color theme="1"/>
        <rFont val="맑은 고딕"/>
        <family val="2"/>
      </rPr>
      <t>경우</t>
    </r>
    <r>
      <rPr>
        <sz val="9"/>
        <color theme="1"/>
        <rFont val="Calibri"/>
        <family val="2"/>
      </rPr>
      <t xml:space="preserve"> </t>
    </r>
    <r>
      <rPr>
        <sz val="9"/>
        <color theme="1"/>
        <rFont val="맑은 고딕"/>
        <family val="2"/>
      </rPr>
      <t>등</t>
    </r>
    <r>
      <rPr>
        <sz val="9"/>
        <color theme="1"/>
        <rFont val="Calibri"/>
        <family val="2"/>
      </rPr>
      <t xml:space="preserve">)\n - XLGantt </t>
    </r>
    <r>
      <rPr>
        <sz val="9"/>
        <color theme="1"/>
        <rFont val="맑은 고딕"/>
        <family val="2"/>
      </rPr>
      <t>파일이</t>
    </r>
    <r>
      <rPr>
        <sz val="9"/>
        <color theme="1"/>
        <rFont val="Calibri"/>
        <family val="2"/>
      </rPr>
      <t xml:space="preserve"> </t>
    </r>
    <r>
      <rPr>
        <sz val="9"/>
        <color theme="1"/>
        <rFont val="맑은 고딕"/>
        <family val="2"/>
      </rPr>
      <t>아닌</t>
    </r>
    <r>
      <rPr>
        <sz val="9"/>
        <color theme="1"/>
        <rFont val="Calibri"/>
        <family val="2"/>
      </rPr>
      <t xml:space="preserve"> </t>
    </r>
    <r>
      <rPr>
        <sz val="9"/>
        <color theme="1"/>
        <rFont val="맑은 고딕"/>
        <family val="2"/>
      </rPr>
      <t>일반</t>
    </r>
    <r>
      <rPr>
        <sz val="9"/>
        <color theme="1"/>
        <rFont val="Calibri"/>
        <family val="2"/>
      </rPr>
      <t xml:space="preserve"> </t>
    </r>
    <r>
      <rPr>
        <sz val="9"/>
        <color theme="1"/>
        <rFont val="맑은 고딕"/>
        <family val="2"/>
      </rPr>
      <t>엑셀파일인</t>
    </r>
    <r>
      <rPr>
        <sz val="9"/>
        <color theme="1"/>
        <rFont val="Calibri"/>
        <family val="2"/>
      </rPr>
      <t xml:space="preserve"> </t>
    </r>
    <r>
      <rPr>
        <sz val="9"/>
        <color theme="1"/>
        <rFont val="맑은 고딕"/>
        <family val="2"/>
      </rPr>
      <t>경우</t>
    </r>
    <r>
      <rPr>
        <sz val="9"/>
        <color theme="1"/>
        <rFont val="Calibri"/>
        <family val="2"/>
      </rPr>
      <t xml:space="preserve">\n\n </t>
    </r>
    <r>
      <rPr>
        <sz val="9"/>
        <color theme="1"/>
        <rFont val="맑은 고딕"/>
        <family val="2"/>
      </rPr>
      <t>자세한</t>
    </r>
    <r>
      <rPr>
        <sz val="9"/>
        <color theme="1"/>
        <rFont val="Calibri"/>
        <family val="2"/>
      </rPr>
      <t xml:space="preserve"> </t>
    </r>
    <r>
      <rPr>
        <sz val="9"/>
        <color theme="1"/>
        <rFont val="맑은 고딕"/>
        <family val="2"/>
      </rPr>
      <t>원인은</t>
    </r>
    <r>
      <rPr>
        <sz val="9"/>
        <color theme="1"/>
        <rFont val="Calibri"/>
        <family val="2"/>
      </rPr>
      <t xml:space="preserve"> </t>
    </r>
    <r>
      <rPr>
        <sz val="9"/>
        <color theme="1"/>
        <rFont val="맑은 고딕"/>
        <family val="2"/>
      </rPr>
      <t>아래의</t>
    </r>
    <r>
      <rPr>
        <sz val="9"/>
        <color theme="1"/>
        <rFont val="Calibri"/>
        <family val="2"/>
      </rPr>
      <t xml:space="preserve"> </t>
    </r>
    <r>
      <rPr>
        <sz val="9"/>
        <color theme="1"/>
        <rFont val="맑은 고딕"/>
        <family val="2"/>
      </rPr>
      <t>메시지를</t>
    </r>
    <r>
      <rPr>
        <sz val="9"/>
        <color theme="1"/>
        <rFont val="Calibri"/>
        <family val="2"/>
      </rPr>
      <t xml:space="preserve"> </t>
    </r>
    <r>
      <rPr>
        <sz val="9"/>
        <color theme="1"/>
        <rFont val="맑은 고딕"/>
        <family val="2"/>
      </rPr>
      <t>확인하시기</t>
    </r>
    <r>
      <rPr>
        <sz val="9"/>
        <color theme="1"/>
        <rFont val="Calibri"/>
        <family val="2"/>
      </rPr>
      <t xml:space="preserve"> </t>
    </r>
    <r>
      <rPr>
        <sz val="9"/>
        <color theme="1"/>
        <rFont val="맑은 고딕"/>
        <family val="2"/>
      </rPr>
      <t>바랍니다</t>
    </r>
    <r>
      <rPr>
        <sz val="9"/>
        <color theme="1"/>
        <rFont val="Calibri"/>
        <family val="2"/>
      </rPr>
      <t>.</t>
    </r>
  </si>
  <si>
    <r>
      <rPr>
        <sz val="9"/>
        <color theme="1"/>
        <rFont val="맑은 고딕"/>
        <family val="2"/>
      </rPr>
      <t>오류</t>
    </r>
    <r>
      <rPr>
        <sz val="9"/>
        <color theme="1"/>
        <rFont val="Calibri"/>
        <family val="2"/>
      </rPr>
      <t xml:space="preserve">, </t>
    </r>
    <r>
      <rPr>
        <sz val="9"/>
        <color theme="1"/>
        <rFont val="맑은 고딕"/>
        <family val="2"/>
      </rPr>
      <t>지정할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없는</t>
    </r>
    <r>
      <rPr>
        <sz val="9"/>
        <color theme="1"/>
        <rFont val="Calibri"/>
        <family val="2"/>
      </rPr>
      <t xml:space="preserve"> </t>
    </r>
    <r>
      <rPr>
        <sz val="9"/>
        <color theme="1"/>
        <rFont val="맑은 고딕"/>
        <family val="2"/>
      </rPr>
      <t>필드가</t>
    </r>
    <r>
      <rPr>
        <sz val="9"/>
        <color theme="1"/>
        <rFont val="Calibri"/>
        <family val="2"/>
      </rPr>
      <t xml:space="preserve"> </t>
    </r>
    <r>
      <rPr>
        <sz val="9"/>
        <color theme="1"/>
        <rFont val="맑은 고딕"/>
        <family val="2"/>
      </rPr>
      <t>있습니다</t>
    </r>
  </si>
  <si>
    <r>
      <rPr>
        <sz val="9"/>
        <color theme="1"/>
        <rFont val="맑은 고딕"/>
        <family val="2"/>
      </rPr>
      <t>프로그램</t>
    </r>
    <r>
      <rPr>
        <sz val="9"/>
        <color theme="1"/>
        <rFont val="Calibri"/>
        <family val="2"/>
      </rPr>
      <t xml:space="preserve"> </t>
    </r>
    <r>
      <rPr>
        <sz val="9"/>
        <color theme="1"/>
        <rFont val="맑은 고딕"/>
        <family val="2"/>
      </rPr>
      <t>실행경로</t>
    </r>
  </si>
  <si>
    <r>
      <rPr>
        <sz val="9"/>
        <color theme="1"/>
        <rFont val="맑은 고딕"/>
        <family val="2"/>
      </rPr>
      <t>필터</t>
    </r>
    <r>
      <rPr>
        <sz val="9"/>
        <color theme="1"/>
        <rFont val="Calibri"/>
        <family val="2"/>
      </rPr>
      <t xml:space="preserve"> </t>
    </r>
    <r>
      <rPr>
        <sz val="9"/>
        <color theme="1"/>
        <rFont val="맑은 고딕"/>
        <family val="2"/>
      </rPr>
      <t>적용</t>
    </r>
  </si>
  <si>
    <r>
      <rPr>
        <sz val="9"/>
        <color theme="1"/>
        <rFont val="맑은 고딕"/>
        <family val="2"/>
      </rPr>
      <t>작업</t>
    </r>
    <r>
      <rPr>
        <sz val="9"/>
        <color theme="1"/>
        <rFont val="Calibri"/>
        <family val="2"/>
      </rPr>
      <t xml:space="preserve"> </t>
    </r>
    <r>
      <rPr>
        <sz val="9"/>
        <color theme="1"/>
        <rFont val="맑은 고딕"/>
        <family val="2"/>
      </rPr>
      <t>필터</t>
    </r>
  </si>
  <si>
    <r>
      <rPr>
        <sz val="9"/>
        <color theme="1"/>
        <rFont val="맑은 고딕"/>
        <family val="2"/>
      </rPr>
      <t>각</t>
    </r>
    <r>
      <rPr>
        <sz val="9"/>
        <color theme="1"/>
        <rFont val="Calibri"/>
        <family val="2"/>
      </rPr>
      <t xml:space="preserve"> </t>
    </r>
    <r>
      <rPr>
        <sz val="9"/>
        <color theme="1"/>
        <rFont val="맑은 고딕"/>
        <family val="2"/>
      </rPr>
      <t>작업의</t>
    </r>
    <r>
      <rPr>
        <sz val="9"/>
        <color theme="1"/>
        <rFont val="Calibri"/>
        <family val="2"/>
      </rPr>
      <t xml:space="preserve"> </t>
    </r>
    <r>
      <rPr>
        <sz val="9"/>
        <color theme="1"/>
        <rFont val="맑은 고딕"/>
        <family val="2"/>
      </rPr>
      <t>완료일</t>
    </r>
    <r>
      <rPr>
        <sz val="9"/>
        <color theme="1"/>
        <rFont val="Calibri"/>
        <family val="2"/>
      </rPr>
      <t>(</t>
    </r>
    <r>
      <rPr>
        <sz val="9"/>
        <color theme="1"/>
        <rFont val="맑은 고딕"/>
        <family val="2"/>
      </rPr>
      <t>또는</t>
    </r>
    <r>
      <rPr>
        <sz val="9"/>
        <color theme="1"/>
        <rFont val="Calibri"/>
        <family val="2"/>
      </rPr>
      <t xml:space="preserve"> </t>
    </r>
    <r>
      <rPr>
        <sz val="9"/>
        <color theme="1"/>
        <rFont val="맑은 고딕"/>
        <family val="2"/>
      </rPr>
      <t>종료일</t>
    </r>
    <r>
      <rPr>
        <sz val="9"/>
        <color theme="1"/>
        <rFont val="Calibri"/>
        <family val="2"/>
      </rPr>
      <t>)</t>
    </r>
    <r>
      <rPr>
        <sz val="9"/>
        <color theme="1"/>
        <rFont val="맑은 고딕"/>
        <family val="2"/>
      </rPr>
      <t>을</t>
    </r>
    <r>
      <rPr>
        <sz val="9"/>
        <color theme="1"/>
        <rFont val="Calibri"/>
        <family val="2"/>
      </rPr>
      <t xml:space="preserve"> </t>
    </r>
    <r>
      <rPr>
        <sz val="9"/>
        <color theme="1"/>
        <rFont val="맑은 고딕"/>
        <family val="2"/>
      </rPr>
      <t>표시합니다</t>
    </r>
    <r>
      <rPr>
        <sz val="9"/>
        <color theme="1"/>
        <rFont val="Calibri"/>
        <family val="2"/>
      </rPr>
      <t xml:space="preserve">. </t>
    </r>
    <r>
      <rPr>
        <sz val="9"/>
        <color theme="1"/>
        <rFont val="맑은 고딕"/>
        <family val="2"/>
      </rPr>
      <t>반드시</t>
    </r>
    <r>
      <rPr>
        <sz val="9"/>
        <color theme="1"/>
        <rFont val="Calibri"/>
        <family val="2"/>
      </rPr>
      <t xml:space="preserve"> </t>
    </r>
    <r>
      <rPr>
        <sz val="9"/>
        <color theme="1"/>
        <rFont val="맑은 고딕"/>
        <family val="2"/>
      </rPr>
      <t>날짜</t>
    </r>
    <r>
      <rPr>
        <sz val="9"/>
        <color theme="1"/>
        <rFont val="Calibri"/>
        <family val="2"/>
      </rPr>
      <t xml:space="preserve"> </t>
    </r>
    <r>
      <rPr>
        <sz val="9"/>
        <color theme="1"/>
        <rFont val="맑은 고딕"/>
        <family val="2"/>
      </rPr>
      <t>형식이어야</t>
    </r>
    <r>
      <rPr>
        <sz val="9"/>
        <color theme="1"/>
        <rFont val="Calibri"/>
        <family val="2"/>
      </rPr>
      <t xml:space="preserve"> </t>
    </r>
    <r>
      <rPr>
        <sz val="9"/>
        <color theme="1"/>
        <rFont val="맑은 고딕"/>
        <family val="2"/>
      </rPr>
      <t>합니다</t>
    </r>
    <r>
      <rPr>
        <sz val="9"/>
        <color theme="1"/>
        <rFont val="Calibri"/>
        <family val="2"/>
      </rPr>
      <t>.</t>
    </r>
  </si>
  <si>
    <r>
      <rPr>
        <sz val="9"/>
        <color theme="1"/>
        <rFont val="맑은 고딕"/>
        <family val="2"/>
      </rPr>
      <t>작업완료일의</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잘못되었습니다</t>
    </r>
    <r>
      <rPr>
        <sz val="9"/>
        <color theme="1"/>
        <rFont val="Calibri"/>
        <family val="2"/>
      </rPr>
      <t>.</t>
    </r>
  </si>
  <si>
    <r>
      <rPr>
        <sz val="9"/>
        <color theme="1"/>
        <rFont val="맑은 고딕"/>
        <family val="2"/>
      </rPr>
      <t>완료일자에</t>
    </r>
    <r>
      <rPr>
        <sz val="9"/>
        <color theme="1"/>
        <rFont val="Calibri"/>
        <family val="2"/>
      </rPr>
      <t xml:space="preserve"> </t>
    </r>
    <r>
      <rPr>
        <sz val="9"/>
        <color theme="1"/>
        <rFont val="맑은 고딕"/>
        <family val="2"/>
      </rPr>
      <t>날짜가</t>
    </r>
    <r>
      <rPr>
        <sz val="9"/>
        <color theme="1"/>
        <rFont val="Calibri"/>
        <family val="2"/>
      </rPr>
      <t xml:space="preserve"> </t>
    </r>
    <r>
      <rPr>
        <sz val="9"/>
        <color theme="1"/>
        <rFont val="맑은 고딕"/>
        <family val="2"/>
      </rPr>
      <t>아닌</t>
    </r>
    <r>
      <rPr>
        <sz val="9"/>
        <color theme="1"/>
        <rFont val="Calibri"/>
        <family val="2"/>
      </rPr>
      <t xml:space="preserve"> </t>
    </r>
    <r>
      <rPr>
        <sz val="9"/>
        <color theme="1"/>
        <rFont val="맑은 고딕"/>
        <family val="2"/>
      </rPr>
      <t>값이</t>
    </r>
    <r>
      <rPr>
        <sz val="9"/>
        <color theme="1"/>
        <rFont val="Calibri"/>
        <family val="2"/>
      </rPr>
      <t xml:space="preserve"> </t>
    </r>
    <r>
      <rPr>
        <sz val="9"/>
        <color theme="1"/>
        <rFont val="맑은 고딕"/>
        <family val="2"/>
      </rPr>
      <t>포함되어</t>
    </r>
    <r>
      <rPr>
        <sz val="9"/>
        <color theme="1"/>
        <rFont val="Calibri"/>
        <family val="2"/>
      </rPr>
      <t xml:space="preserve"> </t>
    </r>
    <r>
      <rPr>
        <sz val="9"/>
        <color theme="1"/>
        <rFont val="맑은 고딕"/>
        <family val="2"/>
      </rPr>
      <t>있습니다</t>
    </r>
    <r>
      <rPr>
        <sz val="9"/>
        <color theme="1"/>
        <rFont val="Calibri"/>
        <family val="2"/>
      </rPr>
      <t>. Import</t>
    </r>
    <r>
      <rPr>
        <sz val="9"/>
        <color theme="1"/>
        <rFont val="맑은 고딕"/>
        <family val="2"/>
      </rPr>
      <t>하는</t>
    </r>
    <r>
      <rPr>
        <sz val="9"/>
        <color theme="1"/>
        <rFont val="Calibri"/>
        <family val="2"/>
      </rPr>
      <t xml:space="preserve"> </t>
    </r>
    <r>
      <rPr>
        <sz val="9"/>
        <color theme="1"/>
        <rFont val="맑은 고딕"/>
        <family val="2"/>
      </rPr>
      <t>파일의</t>
    </r>
    <r>
      <rPr>
        <sz val="9"/>
        <color theme="1"/>
        <rFont val="Calibri"/>
        <family val="2"/>
      </rPr>
      <t xml:space="preserve"> {}</t>
    </r>
    <r>
      <rPr>
        <sz val="9"/>
        <color theme="1"/>
        <rFont val="맑은 고딕"/>
        <family val="2"/>
      </rPr>
      <t>행을</t>
    </r>
    <r>
      <rPr>
        <sz val="9"/>
        <color theme="1"/>
        <rFont val="Calibri"/>
        <family val="2"/>
      </rPr>
      <t xml:space="preserve"> </t>
    </r>
    <r>
      <rPr>
        <sz val="9"/>
        <color theme="1"/>
        <rFont val="맑은 고딕"/>
        <family val="2"/>
      </rPr>
      <t>확인하세요</t>
    </r>
    <r>
      <rPr>
        <sz val="9"/>
        <color theme="1"/>
        <rFont val="Calibri"/>
        <family val="2"/>
      </rPr>
      <t>.</t>
    </r>
  </si>
  <si>
    <r>
      <rPr>
        <sz val="9"/>
        <color theme="1"/>
        <rFont val="맑은 고딕"/>
        <family val="2"/>
      </rPr>
      <t>한주의</t>
    </r>
    <r>
      <rPr>
        <sz val="9"/>
        <color theme="1"/>
        <rFont val="Calibri"/>
        <family val="2"/>
      </rPr>
      <t xml:space="preserve"> </t>
    </r>
    <r>
      <rPr>
        <sz val="9"/>
        <color theme="1"/>
        <rFont val="맑은 고딕"/>
        <family val="2"/>
      </rPr>
      <t>시작요일</t>
    </r>
  </si>
  <si>
    <r>
      <rPr>
        <sz val="9"/>
        <color theme="1"/>
        <rFont val="맑은 고딕"/>
        <family val="2"/>
      </rPr>
      <t>컴퓨터</t>
    </r>
    <r>
      <rPr>
        <sz val="9"/>
        <color theme="1"/>
        <rFont val="Calibri"/>
        <family val="2"/>
      </rPr>
      <t xml:space="preserve"> O/S</t>
    </r>
    <r>
      <rPr>
        <sz val="9"/>
        <color theme="1"/>
        <rFont val="맑은 고딕"/>
        <family val="2"/>
      </rPr>
      <t>의</t>
    </r>
    <r>
      <rPr>
        <sz val="9"/>
        <color theme="1"/>
        <rFont val="Calibri"/>
        <family val="2"/>
      </rPr>
      <t xml:space="preserve"> </t>
    </r>
    <r>
      <rPr>
        <sz val="9"/>
        <color theme="1"/>
        <rFont val="맑은 고딕"/>
        <family val="2"/>
      </rPr>
      <t>언어설정을</t>
    </r>
    <r>
      <rPr>
        <sz val="9"/>
        <color theme="1"/>
        <rFont val="Calibri"/>
        <family val="2"/>
      </rPr>
      <t xml:space="preserve"> </t>
    </r>
    <r>
      <rPr>
        <sz val="9"/>
        <color theme="1"/>
        <rFont val="맑은 고딕"/>
        <family val="2"/>
      </rPr>
      <t>따름</t>
    </r>
  </si>
  <si>
    <r>
      <t>Source</t>
    </r>
    <r>
      <rPr>
        <sz val="9"/>
        <color theme="1"/>
        <rFont val="맑은 고딕"/>
        <family val="2"/>
      </rPr>
      <t>파일</t>
    </r>
    <r>
      <rPr>
        <sz val="9"/>
        <color theme="1"/>
        <rFont val="Calibri"/>
        <family val="2"/>
      </rPr>
      <t>(</t>
    </r>
    <r>
      <rPr>
        <sz val="9"/>
        <color theme="1"/>
        <rFont val="맑은 고딕"/>
        <family val="2"/>
      </rPr>
      <t>가져올</t>
    </r>
    <r>
      <rPr>
        <sz val="9"/>
        <color theme="1"/>
        <rFont val="Calibri"/>
        <family val="2"/>
      </rPr>
      <t xml:space="preserve"> </t>
    </r>
    <r>
      <rPr>
        <sz val="9"/>
        <color theme="1"/>
        <rFont val="맑은 고딕"/>
        <family val="2"/>
      </rPr>
      <t>파일</t>
    </r>
    <r>
      <rPr>
        <sz val="9"/>
        <color theme="1"/>
        <rFont val="Calibri"/>
        <family val="2"/>
      </rPr>
      <t xml:space="preserve"> )</t>
    </r>
  </si>
  <si>
    <r>
      <rPr>
        <sz val="9"/>
        <color theme="1"/>
        <rFont val="맑은 고딕"/>
        <family val="2"/>
      </rPr>
      <t>시작날짜</t>
    </r>
    <r>
      <rPr>
        <sz val="9"/>
        <color theme="1"/>
        <rFont val="Calibri"/>
        <family val="2"/>
      </rPr>
      <t xml:space="preserve"> </t>
    </r>
    <r>
      <rPr>
        <sz val="9"/>
        <color theme="1"/>
        <rFont val="맑은 고딕"/>
        <family val="2"/>
      </rPr>
      <t>형식이</t>
    </r>
    <r>
      <rPr>
        <sz val="9"/>
        <color theme="1"/>
        <rFont val="Calibri"/>
        <family val="2"/>
      </rPr>
      <t xml:space="preserve"> </t>
    </r>
    <r>
      <rPr>
        <sz val="9"/>
        <color theme="1"/>
        <rFont val="맑은 고딕"/>
        <family val="2"/>
      </rPr>
      <t>잘못되었습니다</t>
    </r>
    <r>
      <rPr>
        <sz val="9"/>
        <color theme="1"/>
        <rFont val="Calibri"/>
        <family val="2"/>
      </rPr>
      <t>.</t>
    </r>
  </si>
  <si>
    <r>
      <t>Gantt chart</t>
    </r>
    <r>
      <rPr>
        <sz val="9"/>
        <color theme="1"/>
        <rFont val="맑은 고딕"/>
        <family val="2"/>
      </rPr>
      <t>표시</t>
    </r>
    <r>
      <rPr>
        <sz val="9"/>
        <color theme="1"/>
        <rFont val="Calibri"/>
        <family val="2"/>
      </rPr>
      <t xml:space="preserve"> </t>
    </r>
    <r>
      <rPr>
        <sz val="9"/>
        <color theme="1"/>
        <rFont val="맑은 고딕"/>
        <family val="2"/>
      </rPr>
      <t>방법</t>
    </r>
  </si>
  <si>
    <r>
      <t xml:space="preserve">Gantt Chart </t>
    </r>
    <r>
      <rPr>
        <sz val="9"/>
        <color theme="1"/>
        <rFont val="맑은 고딕"/>
        <family val="2"/>
      </rPr>
      <t>보기</t>
    </r>
    <r>
      <rPr>
        <sz val="9"/>
        <color theme="1"/>
        <rFont val="Calibri"/>
        <family val="2"/>
      </rPr>
      <t xml:space="preserve"> </t>
    </r>
    <r>
      <rPr>
        <sz val="9"/>
        <color theme="1"/>
        <rFont val="맑은 고딕"/>
        <family val="2"/>
      </rPr>
      <t>형식</t>
    </r>
  </si>
  <si>
    <r>
      <t xml:space="preserve">Gantt Chart </t>
    </r>
    <r>
      <rPr>
        <sz val="9"/>
        <color theme="1"/>
        <rFont val="맑은 고딕"/>
        <family val="2"/>
      </rPr>
      <t>축소</t>
    </r>
    <r>
      <rPr>
        <sz val="9"/>
        <color theme="1"/>
        <rFont val="Calibri"/>
        <family val="2"/>
      </rPr>
      <t>/</t>
    </r>
    <r>
      <rPr>
        <sz val="9"/>
        <color theme="1"/>
        <rFont val="맑은 고딕"/>
        <family val="2"/>
      </rPr>
      <t>확대</t>
    </r>
    <r>
      <rPr>
        <sz val="9"/>
        <color theme="1"/>
        <rFont val="Calibri"/>
        <family val="2"/>
      </rPr>
      <t xml:space="preserve"> </t>
    </r>
    <r>
      <rPr>
        <sz val="9"/>
        <color theme="1"/>
        <rFont val="맑은 고딕"/>
        <family val="2"/>
      </rPr>
      <t>비율</t>
    </r>
  </si>
  <si>
    <r>
      <rPr>
        <sz val="9"/>
        <color theme="1"/>
        <rFont val="맑은 고딕"/>
        <family val="2"/>
      </rPr>
      <t>가져오는</t>
    </r>
    <r>
      <rPr>
        <sz val="9"/>
        <color theme="1"/>
        <rFont val="Calibri"/>
        <family val="2"/>
      </rPr>
      <t xml:space="preserve"> </t>
    </r>
    <r>
      <rPr>
        <sz val="9"/>
        <color theme="1"/>
        <rFont val="맑은 고딕"/>
        <family val="2"/>
      </rPr>
      <t>파일</t>
    </r>
    <r>
      <rPr>
        <sz val="9"/>
        <color theme="1"/>
        <rFont val="Calibri"/>
        <family val="2"/>
      </rPr>
      <t>(</t>
    </r>
    <r>
      <rPr>
        <sz val="9"/>
        <color theme="1"/>
        <rFont val="맑은 고딕"/>
        <family val="2"/>
      </rPr>
      <t>소스파일</t>
    </r>
    <r>
      <rPr>
        <sz val="9"/>
        <color theme="1"/>
        <rFont val="Calibri"/>
        <family val="2"/>
      </rPr>
      <t>)</t>
    </r>
    <r>
      <rPr>
        <sz val="9"/>
        <color theme="1"/>
        <rFont val="맑은 고딕"/>
        <family val="2"/>
      </rPr>
      <t>에</t>
    </r>
    <r>
      <rPr>
        <sz val="9"/>
        <color theme="1"/>
        <rFont val="Calibri"/>
        <family val="2"/>
      </rPr>
      <t xml:space="preserve"> </t>
    </r>
    <r>
      <rPr>
        <sz val="9"/>
        <color theme="1"/>
        <rFont val="맑은 고딕"/>
        <family val="2"/>
      </rPr>
      <t>설정된</t>
    </r>
    <r>
      <rPr>
        <sz val="9"/>
        <color theme="1"/>
        <rFont val="Calibri"/>
        <family val="2"/>
      </rPr>
      <t xml:space="preserve"> </t>
    </r>
    <r>
      <rPr>
        <sz val="9"/>
        <color theme="1"/>
        <rFont val="맑은 고딕"/>
        <family val="2"/>
      </rPr>
      <t>언어와</t>
    </r>
    <r>
      <rPr>
        <sz val="9"/>
        <color theme="1"/>
        <rFont val="Calibri"/>
        <family val="2"/>
      </rPr>
      <t xml:space="preserve"> </t>
    </r>
    <r>
      <rPr>
        <sz val="9"/>
        <color theme="1"/>
        <rFont val="맑은 고딕"/>
        <family val="2"/>
      </rPr>
      <t>이</t>
    </r>
    <r>
      <rPr>
        <sz val="9"/>
        <color theme="1"/>
        <rFont val="Calibri"/>
        <family val="2"/>
      </rPr>
      <t xml:space="preserve"> </t>
    </r>
    <r>
      <rPr>
        <sz val="9"/>
        <color theme="1"/>
        <rFont val="맑은 고딕"/>
        <family val="2"/>
      </rPr>
      <t>파일</t>
    </r>
    <r>
      <rPr>
        <sz val="9"/>
        <color theme="1"/>
        <rFont val="Calibri"/>
        <family val="2"/>
      </rPr>
      <t>(</t>
    </r>
    <r>
      <rPr>
        <sz val="9"/>
        <color theme="1"/>
        <rFont val="맑은 고딕"/>
        <family val="2"/>
      </rPr>
      <t>타겟파일</t>
    </r>
    <r>
      <rPr>
        <sz val="9"/>
        <color theme="1"/>
        <rFont val="Calibri"/>
        <family val="2"/>
      </rPr>
      <t>)</t>
    </r>
    <r>
      <rPr>
        <sz val="9"/>
        <color theme="1"/>
        <rFont val="맑은 고딕"/>
        <family val="2"/>
      </rPr>
      <t>에</t>
    </r>
    <r>
      <rPr>
        <sz val="9"/>
        <color theme="1"/>
        <rFont val="Calibri"/>
        <family val="2"/>
      </rPr>
      <t xml:space="preserve"> </t>
    </r>
    <r>
      <rPr>
        <sz val="9"/>
        <color theme="1"/>
        <rFont val="맑은 고딕"/>
        <family val="2"/>
      </rPr>
      <t>설정된</t>
    </r>
    <r>
      <rPr>
        <sz val="9"/>
        <color theme="1"/>
        <rFont val="Calibri"/>
        <family val="2"/>
      </rPr>
      <t xml:space="preserve"> </t>
    </r>
    <r>
      <rPr>
        <sz val="9"/>
        <color theme="1"/>
        <rFont val="맑은 고딕"/>
        <family val="2"/>
      </rPr>
      <t>언어가</t>
    </r>
    <r>
      <rPr>
        <sz val="9"/>
        <color theme="1"/>
        <rFont val="Calibri"/>
        <family val="2"/>
      </rPr>
      <t xml:space="preserve"> </t>
    </r>
    <r>
      <rPr>
        <sz val="9"/>
        <color theme="1"/>
        <rFont val="맑은 고딕"/>
        <family val="2"/>
      </rPr>
      <t>다르면</t>
    </r>
    <r>
      <rPr>
        <sz val="9"/>
        <color theme="1"/>
        <rFont val="Calibri"/>
        <family val="2"/>
      </rPr>
      <t xml:space="preserve"> Import</t>
    </r>
    <r>
      <rPr>
        <sz val="9"/>
        <color theme="1"/>
        <rFont val="맑은 고딕"/>
        <family val="2"/>
      </rPr>
      <t>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t>
    </r>
  </si>
  <si>
    <r>
      <rPr>
        <sz val="9"/>
        <color theme="1"/>
        <rFont val="맑은 고딕"/>
        <family val="2"/>
      </rPr>
      <t>작업명으로</t>
    </r>
    <r>
      <rPr>
        <sz val="9"/>
        <color theme="1"/>
        <rFont val="Calibri"/>
        <family val="2"/>
      </rPr>
      <t xml:space="preserve"> </t>
    </r>
    <r>
      <rPr>
        <sz val="9"/>
        <color theme="1"/>
        <rFont val="맑은 고딕"/>
        <family val="2"/>
      </rPr>
      <t>하위</t>
    </r>
    <r>
      <rPr>
        <sz val="9"/>
        <color theme="1"/>
        <rFont val="Calibri"/>
        <family val="2"/>
      </rPr>
      <t xml:space="preserve"> </t>
    </r>
    <r>
      <rPr>
        <sz val="9"/>
        <color theme="1"/>
        <rFont val="맑은 고딕"/>
        <family val="2"/>
      </rPr>
      <t>경로</t>
    </r>
    <r>
      <rPr>
        <sz val="9"/>
        <color theme="1"/>
        <rFont val="Calibri"/>
        <family val="2"/>
      </rPr>
      <t xml:space="preserve"> </t>
    </r>
    <r>
      <rPr>
        <sz val="9"/>
        <color theme="1"/>
        <rFont val="맑은 고딕"/>
        <family val="2"/>
      </rPr>
      <t>자동지정을</t>
    </r>
    <r>
      <rPr>
        <sz val="9"/>
        <color theme="1"/>
        <rFont val="Calibri"/>
        <family val="2"/>
      </rPr>
      <t xml:space="preserve"> </t>
    </r>
    <r>
      <rPr>
        <sz val="9"/>
        <color theme="1"/>
        <rFont val="맑은 고딕"/>
        <family val="2"/>
      </rPr>
      <t>선택한</t>
    </r>
    <r>
      <rPr>
        <sz val="9"/>
        <color theme="1"/>
        <rFont val="Calibri"/>
        <family val="2"/>
      </rPr>
      <t xml:space="preserve"> </t>
    </r>
    <r>
      <rPr>
        <sz val="9"/>
        <color theme="1"/>
        <rFont val="맑은 고딕"/>
        <family val="2"/>
      </rPr>
      <t>경우에는</t>
    </r>
    <r>
      <rPr>
        <sz val="9"/>
        <color theme="1"/>
        <rFont val="Calibri"/>
        <family val="2"/>
      </rPr>
      <t xml:space="preserve"> </t>
    </r>
    <r>
      <rPr>
        <sz val="9"/>
        <color theme="1"/>
        <rFont val="맑은 고딕"/>
        <family val="2"/>
      </rPr>
      <t>상위의</t>
    </r>
    <r>
      <rPr>
        <sz val="9"/>
        <color theme="1"/>
        <rFont val="Calibri"/>
        <family val="2"/>
      </rPr>
      <t xml:space="preserve"> </t>
    </r>
    <r>
      <rPr>
        <sz val="9"/>
        <color theme="1"/>
        <rFont val="맑은 고딕"/>
        <family val="2"/>
      </rPr>
      <t>기본경로를</t>
    </r>
    <r>
      <rPr>
        <sz val="9"/>
        <color theme="1"/>
        <rFont val="Calibri"/>
        <family val="2"/>
      </rPr>
      <t xml:space="preserve"> </t>
    </r>
    <r>
      <rPr>
        <sz val="9"/>
        <color theme="1"/>
        <rFont val="맑은 고딕"/>
        <family val="2"/>
      </rPr>
      <t>설정해야</t>
    </r>
    <r>
      <rPr>
        <sz val="9"/>
        <color theme="1"/>
        <rFont val="Calibri"/>
        <family val="2"/>
      </rPr>
      <t xml:space="preserve"> </t>
    </r>
    <r>
      <rPr>
        <sz val="9"/>
        <color theme="1"/>
        <rFont val="맑은 고딕"/>
        <family val="2"/>
      </rPr>
      <t>합니다</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</si>
  <si>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실제시작일만</t>
    </r>
    <r>
      <rPr>
        <sz val="9"/>
        <color theme="1"/>
        <rFont val="Calibri"/>
        <family val="2"/>
      </rPr>
      <t xml:space="preserve"> </t>
    </r>
    <r>
      <rPr>
        <sz val="9"/>
        <color theme="1"/>
        <rFont val="맑은 고딕"/>
        <family val="2"/>
      </rPr>
      <t>입력하고</t>
    </r>
    <r>
      <rPr>
        <sz val="9"/>
        <color theme="1"/>
        <rFont val="Calibri"/>
        <family val="2"/>
      </rPr>
      <t xml:space="preserve"> </t>
    </r>
    <r>
      <rPr>
        <sz val="9"/>
        <color theme="1"/>
        <rFont val="맑은 고딕"/>
        <family val="2"/>
      </rPr>
      <t>실제완료일을</t>
    </r>
    <r>
      <rPr>
        <sz val="9"/>
        <color theme="1"/>
        <rFont val="Calibri"/>
        <family val="2"/>
      </rPr>
      <t xml:space="preserve"> </t>
    </r>
    <r>
      <rPr>
        <sz val="9"/>
        <color theme="1"/>
        <rFont val="맑은 고딕"/>
        <family val="2"/>
      </rPr>
      <t>비워놓으면</t>
    </r>
    <r>
      <rPr>
        <sz val="9"/>
        <color theme="1"/>
        <rFont val="Calibri"/>
        <family val="2"/>
      </rPr>
      <t xml:space="preserve"> </t>
    </r>
    <r>
      <rPr>
        <sz val="9"/>
        <color theme="1"/>
        <rFont val="맑은 고딕"/>
        <family val="2"/>
      </rPr>
      <t>완료율을</t>
    </r>
    <r>
      <rPr>
        <sz val="9"/>
        <color theme="1"/>
        <rFont val="Calibri"/>
        <family val="2"/>
      </rPr>
      <t xml:space="preserve"> 100%</t>
    </r>
    <r>
      <rPr>
        <sz val="9"/>
        <color theme="1"/>
        <rFont val="맑은 고딕"/>
        <family val="2"/>
      </rPr>
      <t>로</t>
    </r>
    <r>
      <rPr>
        <sz val="9"/>
        <color theme="1"/>
        <rFont val="Calibri"/>
        <family val="2"/>
      </rPr>
      <t xml:space="preserve"> </t>
    </r>
    <r>
      <rPr>
        <sz val="9"/>
        <color theme="1"/>
        <rFont val="맑은 고딕"/>
        <family val="2"/>
      </rPr>
      <t>입력할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t>
    </r>
  </si>
  <si>
    <r>
      <rPr>
        <sz val="9"/>
        <color theme="1"/>
        <rFont val="맑은 고딕"/>
        <family val="2"/>
      </rPr>
      <t>일반</t>
    </r>
    <r>
      <rPr>
        <sz val="9"/>
        <color theme="1"/>
        <rFont val="Calibri"/>
        <family val="2"/>
      </rPr>
      <t xml:space="preserve"> Excel </t>
    </r>
    <r>
      <rPr>
        <sz val="9"/>
        <color theme="1"/>
        <rFont val="맑은 고딕"/>
        <family val="2"/>
      </rPr>
      <t>파일</t>
    </r>
  </si>
  <si>
    <r>
      <rPr>
        <sz val="9"/>
        <color theme="1"/>
        <rFont val="맑은 고딕"/>
        <family val="2"/>
      </rPr>
      <t>기존</t>
    </r>
    <r>
      <rPr>
        <sz val="9"/>
        <color theme="1"/>
        <rFont val="Calibri"/>
        <family val="2"/>
      </rPr>
      <t xml:space="preserve">Data </t>
    </r>
    <r>
      <rPr>
        <sz val="9"/>
        <color theme="1"/>
        <rFont val="맑은 고딕"/>
        <family val="2"/>
      </rPr>
      <t>지우고</t>
    </r>
    <r>
      <rPr>
        <sz val="9"/>
        <color theme="1"/>
        <rFont val="Calibri"/>
        <family val="2"/>
      </rPr>
      <t xml:space="preserve"> </t>
    </r>
    <r>
      <rPr>
        <sz val="9"/>
        <color theme="1"/>
        <rFont val="맑은 고딕"/>
        <family val="2"/>
      </rPr>
      <t>가져오기</t>
    </r>
  </si>
  <si>
    <r>
      <rPr>
        <sz val="9"/>
        <color theme="1"/>
        <rFont val="맑은 고딕"/>
        <family val="2"/>
      </rPr>
      <t>기존</t>
    </r>
    <r>
      <rPr>
        <sz val="9"/>
        <color theme="1"/>
        <rFont val="Calibri"/>
        <family val="2"/>
      </rPr>
      <t xml:space="preserve">Data </t>
    </r>
    <r>
      <rPr>
        <sz val="9"/>
        <color theme="1"/>
        <rFont val="맑은 고딕"/>
        <family val="2"/>
      </rPr>
      <t>아래에</t>
    </r>
    <r>
      <rPr>
        <sz val="9"/>
        <color theme="1"/>
        <rFont val="Calibri"/>
        <family val="2"/>
      </rPr>
      <t xml:space="preserve"> </t>
    </r>
    <r>
      <rPr>
        <sz val="9"/>
        <color theme="1"/>
        <rFont val="맑은 고딕"/>
        <family val="2"/>
      </rPr>
      <t>추가하기</t>
    </r>
  </si>
  <si>
    <r>
      <t>XLGantt</t>
    </r>
    <r>
      <rPr>
        <sz val="9"/>
        <color theme="1"/>
        <rFont val="맑은 고딕"/>
        <family val="2"/>
      </rPr>
      <t>로</t>
    </r>
    <r>
      <rPr>
        <sz val="9"/>
        <color theme="1"/>
        <rFont val="Calibri"/>
        <family val="2"/>
      </rPr>
      <t xml:space="preserve"> </t>
    </r>
    <r>
      <rPr>
        <sz val="9"/>
        <color theme="1"/>
        <rFont val="맑은 고딕"/>
        <family val="2"/>
      </rPr>
      <t>작성된</t>
    </r>
    <r>
      <rPr>
        <sz val="9"/>
        <color theme="1"/>
        <rFont val="Calibri"/>
        <family val="2"/>
      </rPr>
      <t xml:space="preserve"> </t>
    </r>
    <r>
      <rPr>
        <sz val="9"/>
        <color theme="1"/>
        <rFont val="맑은 고딕"/>
        <family val="2"/>
      </rPr>
      <t>파일</t>
    </r>
    <r>
      <rPr>
        <sz val="9"/>
        <color theme="1"/>
        <rFont val="Calibri"/>
        <family val="2"/>
      </rPr>
      <t xml:space="preserve"> </t>
    </r>
    <r>
      <rPr>
        <sz val="9"/>
        <color theme="1"/>
        <rFont val="맑은 고딕"/>
        <family val="2"/>
      </rPr>
      <t>가져오기</t>
    </r>
  </si>
  <si>
    <r>
      <rPr>
        <sz val="9"/>
        <color theme="1"/>
        <rFont val="맑은 고딕"/>
        <family val="2"/>
      </rPr>
      <t>이</t>
    </r>
    <r>
      <rPr>
        <sz val="9"/>
        <color theme="1"/>
        <rFont val="Calibri"/>
        <family val="2"/>
      </rPr>
      <t xml:space="preserve"> XLGantt</t>
    </r>
    <r>
      <rPr>
        <sz val="9"/>
        <color theme="1"/>
        <rFont val="맑은 고딕"/>
        <family val="2"/>
      </rPr>
      <t>파일에</t>
    </r>
    <r>
      <rPr>
        <sz val="9"/>
        <color theme="1"/>
        <rFont val="Calibri"/>
        <family val="2"/>
      </rPr>
      <t xml:space="preserve"> </t>
    </r>
    <r>
      <rPr>
        <sz val="9"/>
        <color theme="1"/>
        <rFont val="맑은 고딕"/>
        <family val="2"/>
      </rPr>
      <t>있는</t>
    </r>
    <r>
      <rPr>
        <sz val="9"/>
        <color theme="1"/>
        <rFont val="Calibri"/>
        <family val="2"/>
      </rPr>
      <t xml:space="preserve"> Data</t>
    </r>
    <r>
      <rPr>
        <sz val="9"/>
        <color theme="1"/>
        <rFont val="맑은 고딕"/>
        <family val="2"/>
      </rPr>
      <t>를</t>
    </r>
    <r>
      <rPr>
        <sz val="9"/>
        <color theme="1"/>
        <rFont val="Calibri"/>
        <family val="2"/>
      </rPr>
      <t xml:space="preserve"> </t>
    </r>
    <r>
      <rPr>
        <sz val="9"/>
        <color theme="1"/>
        <rFont val="맑은 고딕"/>
        <family val="2"/>
      </rPr>
      <t>지우고</t>
    </r>
    <r>
      <rPr>
        <sz val="9"/>
        <color theme="1"/>
        <rFont val="Calibri"/>
        <family val="2"/>
      </rPr>
      <t xml:space="preserve"> </t>
    </r>
    <r>
      <rPr>
        <sz val="9"/>
        <color theme="1"/>
        <rFont val="맑은 고딕"/>
        <family val="2"/>
      </rPr>
      <t>새로운</t>
    </r>
    <r>
      <rPr>
        <sz val="9"/>
        <color theme="1"/>
        <rFont val="Calibri"/>
        <family val="2"/>
      </rPr>
      <t xml:space="preserve"> Data</t>
    </r>
    <r>
      <rPr>
        <sz val="9"/>
        <color theme="1"/>
        <rFont val="맑은 고딕"/>
        <family val="2"/>
      </rPr>
      <t>를</t>
    </r>
    <r>
      <rPr>
        <sz val="9"/>
        <color theme="1"/>
        <rFont val="Calibri"/>
        <family val="2"/>
      </rPr>
      <t xml:space="preserve"> </t>
    </r>
    <r>
      <rPr>
        <sz val="9"/>
        <color theme="1"/>
        <rFont val="맑은 고딕"/>
        <family val="2"/>
      </rPr>
      <t>가져와서</t>
    </r>
    <r>
      <rPr>
        <sz val="9"/>
        <color theme="1"/>
        <rFont val="Calibri"/>
        <family val="2"/>
      </rPr>
      <t xml:space="preserve"> _x000D_
</t>
    </r>
    <r>
      <rPr>
        <sz val="9"/>
        <color theme="1"/>
        <rFont val="맑은 고딕"/>
        <family val="2"/>
      </rPr>
      <t>붙여</t>
    </r>
    <r>
      <rPr>
        <sz val="9"/>
        <color theme="1"/>
        <rFont val="Calibri"/>
        <family val="2"/>
      </rPr>
      <t xml:space="preserve"> </t>
    </r>
    <r>
      <rPr>
        <sz val="9"/>
        <color theme="1"/>
        <rFont val="맑은 고딕"/>
        <family val="2"/>
      </rPr>
      <t>넣기</t>
    </r>
  </si>
  <si>
    <r>
      <rPr>
        <sz val="9"/>
        <color theme="1"/>
        <rFont val="맑은 고딕"/>
        <family val="2"/>
      </rPr>
      <t>이</t>
    </r>
    <r>
      <rPr>
        <sz val="9"/>
        <color theme="1"/>
        <rFont val="Calibri"/>
        <family val="2"/>
      </rPr>
      <t xml:space="preserve"> XLGantt</t>
    </r>
    <r>
      <rPr>
        <sz val="9"/>
        <color theme="1"/>
        <rFont val="맑은 고딕"/>
        <family val="2"/>
      </rPr>
      <t>파일에</t>
    </r>
    <r>
      <rPr>
        <sz val="9"/>
        <color theme="1"/>
        <rFont val="Calibri"/>
        <family val="2"/>
      </rPr>
      <t xml:space="preserve"> </t>
    </r>
    <r>
      <rPr>
        <sz val="9"/>
        <color theme="1"/>
        <rFont val="맑은 고딕"/>
        <family val="2"/>
      </rPr>
      <t>있는</t>
    </r>
    <r>
      <rPr>
        <sz val="9"/>
        <color theme="1"/>
        <rFont val="Calibri"/>
        <family val="2"/>
      </rPr>
      <t xml:space="preserve"> Data</t>
    </r>
    <r>
      <rPr>
        <sz val="9"/>
        <color theme="1"/>
        <rFont val="맑은 고딕"/>
        <family val="2"/>
      </rPr>
      <t>를</t>
    </r>
    <r>
      <rPr>
        <sz val="9"/>
        <color theme="1"/>
        <rFont val="Calibri"/>
        <family val="2"/>
      </rPr>
      <t xml:space="preserve"> </t>
    </r>
    <r>
      <rPr>
        <sz val="9"/>
        <color theme="1"/>
        <rFont val="맑은 고딕"/>
        <family val="2"/>
      </rPr>
      <t>그대로</t>
    </r>
    <r>
      <rPr>
        <sz val="9"/>
        <color theme="1"/>
        <rFont val="Calibri"/>
        <family val="2"/>
      </rPr>
      <t xml:space="preserve"> </t>
    </r>
    <r>
      <rPr>
        <sz val="9"/>
        <color theme="1"/>
        <rFont val="맑은 고딕"/>
        <family val="2"/>
      </rPr>
      <t>두고</t>
    </r>
    <r>
      <rPr>
        <sz val="9"/>
        <color theme="1"/>
        <rFont val="Calibri"/>
        <family val="2"/>
      </rPr>
      <t xml:space="preserve"> </t>
    </r>
    <r>
      <rPr>
        <sz val="9"/>
        <color theme="1"/>
        <rFont val="맑은 고딕"/>
        <family val="2"/>
      </rPr>
      <t>맨</t>
    </r>
    <r>
      <rPr>
        <sz val="9"/>
        <color theme="1"/>
        <rFont val="Calibri"/>
        <family val="2"/>
      </rPr>
      <t xml:space="preserve"> </t>
    </r>
    <r>
      <rPr>
        <sz val="9"/>
        <color theme="1"/>
        <rFont val="맑은 고딕"/>
        <family val="2"/>
      </rPr>
      <t>아래에</t>
    </r>
    <r>
      <rPr>
        <sz val="9"/>
        <color theme="1"/>
        <rFont val="Calibri"/>
        <family val="2"/>
      </rPr>
      <t xml:space="preserve"> </t>
    </r>
    <r>
      <rPr>
        <sz val="9"/>
        <color theme="1"/>
        <rFont val="맑은 고딕"/>
        <family val="2"/>
      </rPr>
      <t>새로운</t>
    </r>
    <r>
      <rPr>
        <sz val="9"/>
        <color theme="1"/>
        <rFont val="Calibri"/>
        <family val="2"/>
      </rPr>
      <t xml:space="preserve"> Data</t>
    </r>
    <r>
      <rPr>
        <sz val="9"/>
        <color theme="1"/>
        <rFont val="맑은 고딕"/>
        <family val="2"/>
      </rPr>
      <t>를</t>
    </r>
    <r>
      <rPr>
        <sz val="9"/>
        <color theme="1"/>
        <rFont val="Calibri"/>
        <family val="2"/>
      </rPr>
      <t xml:space="preserve"> </t>
    </r>
    <r>
      <rPr>
        <sz val="9"/>
        <color theme="1"/>
        <rFont val="맑은 고딕"/>
        <family val="2"/>
      </rPr>
      <t>가져와서</t>
    </r>
    <r>
      <rPr>
        <sz val="9"/>
        <color theme="1"/>
        <rFont val="Calibri"/>
        <family val="2"/>
      </rPr>
      <t xml:space="preserve"> </t>
    </r>
    <r>
      <rPr>
        <sz val="9"/>
        <color theme="1"/>
        <rFont val="맑은 고딕"/>
        <family val="2"/>
      </rPr>
      <t>붙여</t>
    </r>
    <r>
      <rPr>
        <sz val="9"/>
        <color theme="1"/>
        <rFont val="Calibri"/>
        <family val="2"/>
      </rPr>
      <t xml:space="preserve"> </t>
    </r>
    <r>
      <rPr>
        <sz val="9"/>
        <color theme="1"/>
        <rFont val="맑은 고딕"/>
        <family val="2"/>
      </rPr>
      <t>넣기</t>
    </r>
  </si>
  <si>
    <r>
      <rPr>
        <sz val="9"/>
        <color theme="1"/>
        <rFont val="맑은 고딕"/>
        <family val="2"/>
      </rPr>
      <t>가져오기</t>
    </r>
    <r>
      <rPr>
        <sz val="9"/>
        <color theme="1"/>
        <rFont val="Calibri"/>
        <family val="2"/>
      </rPr>
      <t xml:space="preserve"> </t>
    </r>
    <r>
      <rPr>
        <sz val="9"/>
        <color theme="1"/>
        <rFont val="맑은 고딕"/>
        <family val="2"/>
      </rPr>
      <t>옵션</t>
    </r>
  </si>
  <si>
    <r>
      <rPr>
        <sz val="9"/>
        <color theme="1"/>
        <rFont val="맑은 고딕"/>
        <family val="2"/>
      </rPr>
      <t>가져오기</t>
    </r>
    <r>
      <rPr>
        <sz val="9"/>
        <color theme="1"/>
        <rFont val="Calibri"/>
        <family val="2"/>
      </rPr>
      <t xml:space="preserve"> </t>
    </r>
    <r>
      <rPr>
        <sz val="9"/>
        <color theme="1"/>
        <rFont val="맑은 고딕"/>
        <family val="2"/>
      </rPr>
      <t>작업이</t>
    </r>
    <r>
      <rPr>
        <sz val="9"/>
        <color theme="1"/>
        <rFont val="Calibri"/>
        <family val="2"/>
      </rPr>
      <t xml:space="preserve"> </t>
    </r>
    <r>
      <rPr>
        <sz val="9"/>
        <color theme="1"/>
        <rFont val="맑은 고딕"/>
        <family val="2"/>
      </rPr>
      <t>정상적으로</t>
    </r>
    <r>
      <rPr>
        <sz val="9"/>
        <color theme="1"/>
        <rFont val="Calibri"/>
        <family val="2"/>
      </rPr>
      <t xml:space="preserve"> </t>
    </r>
    <r>
      <rPr>
        <sz val="9"/>
        <color theme="1"/>
        <rFont val="맑은 고딕"/>
        <family val="2"/>
      </rPr>
      <t>완료되었습니다</t>
    </r>
    <r>
      <rPr>
        <sz val="9"/>
        <color theme="1"/>
        <rFont val="Calibri"/>
        <family val="2"/>
      </rPr>
      <t>.\n</t>
    </r>
    <r>
      <rPr>
        <sz val="9"/>
        <color theme="1"/>
        <rFont val="맑은 고딕"/>
        <family val="2"/>
      </rPr>
      <t>가져온</t>
    </r>
    <r>
      <rPr>
        <sz val="9"/>
        <color theme="1"/>
        <rFont val="Calibri"/>
        <family val="2"/>
      </rPr>
      <t xml:space="preserve"> </t>
    </r>
    <r>
      <rPr>
        <sz val="9"/>
        <color theme="1"/>
        <rFont val="맑은 고딕"/>
        <family val="2"/>
      </rPr>
      <t>자료의</t>
    </r>
    <r>
      <rPr>
        <sz val="9"/>
        <color theme="1"/>
        <rFont val="Calibri"/>
        <family val="2"/>
      </rPr>
      <t xml:space="preserve"> </t>
    </r>
    <r>
      <rPr>
        <sz val="9"/>
        <color theme="1"/>
        <rFont val="맑은 고딕"/>
        <family val="2"/>
      </rPr>
      <t>전체</t>
    </r>
    <r>
      <rPr>
        <sz val="9"/>
        <color theme="1"/>
        <rFont val="Calibri"/>
        <family val="2"/>
      </rPr>
      <t xml:space="preserve"> </t>
    </r>
    <r>
      <rPr>
        <sz val="9"/>
        <color theme="1"/>
        <rFont val="맑은 고딕"/>
        <family val="2"/>
      </rPr>
      <t>행수</t>
    </r>
    <r>
      <rPr>
        <sz val="9"/>
        <color theme="1"/>
        <rFont val="Calibri"/>
        <family val="2"/>
      </rPr>
      <t xml:space="preserve"> : </t>
    </r>
  </si>
  <si>
    <r>
      <rPr>
        <sz val="9"/>
        <color theme="1"/>
        <rFont val="맑은 고딕"/>
        <family val="2"/>
      </rPr>
      <t>기존</t>
    </r>
    <r>
      <rPr>
        <sz val="9"/>
        <color theme="1"/>
        <rFont val="Calibri"/>
        <family val="2"/>
      </rPr>
      <t>Data</t>
    </r>
    <r>
      <rPr>
        <sz val="9"/>
        <color theme="1"/>
        <rFont val="맑은 고딕"/>
        <family val="2"/>
      </rPr>
      <t>에</t>
    </r>
    <r>
      <rPr>
        <sz val="9"/>
        <color theme="1"/>
        <rFont val="Calibri"/>
        <family val="2"/>
      </rPr>
      <t xml:space="preserve"> </t>
    </r>
    <r>
      <rPr>
        <sz val="9"/>
        <color theme="1"/>
        <rFont val="맑은 고딕"/>
        <family val="2"/>
      </rPr>
      <t>추가하기</t>
    </r>
  </si>
  <si>
    <r>
      <rPr>
        <sz val="9"/>
        <color theme="1"/>
        <rFont val="맑은 고딕"/>
        <family val="2"/>
      </rPr>
      <t>파일</t>
    </r>
    <r>
      <rPr>
        <sz val="9"/>
        <color theme="1"/>
        <rFont val="Calibri"/>
        <family val="2"/>
      </rPr>
      <t xml:space="preserve"> </t>
    </r>
    <r>
      <rPr>
        <sz val="9"/>
        <color theme="1"/>
        <rFont val="맑은 고딕"/>
        <family val="2"/>
      </rPr>
      <t>가져오기</t>
    </r>
  </si>
  <si>
    <r>
      <rPr>
        <sz val="9"/>
        <color theme="1"/>
        <rFont val="맑은 고딕"/>
        <family val="2"/>
      </rPr>
      <t>자료를</t>
    </r>
    <r>
      <rPr>
        <sz val="9"/>
        <color theme="1"/>
        <rFont val="Calibri"/>
        <family val="2"/>
      </rPr>
      <t xml:space="preserve"> </t>
    </r>
    <r>
      <rPr>
        <sz val="9"/>
        <color theme="1"/>
        <rFont val="맑은 고딕"/>
        <family val="2"/>
      </rPr>
      <t>가져옵니다</t>
    </r>
    <r>
      <rPr>
        <sz val="9"/>
        <color theme="1"/>
        <rFont val="Calibri"/>
        <family val="2"/>
      </rPr>
      <t xml:space="preserve">. </t>
    </r>
    <r>
      <rPr>
        <sz val="9"/>
        <color theme="1"/>
        <rFont val="맑은 고딕"/>
        <family val="2"/>
      </rPr>
      <t>잠시만</t>
    </r>
    <r>
      <rPr>
        <sz val="9"/>
        <color theme="1"/>
        <rFont val="Calibri"/>
        <family val="2"/>
      </rPr>
      <t xml:space="preserve"> </t>
    </r>
    <r>
      <rPr>
        <sz val="9"/>
        <color theme="1"/>
        <rFont val="맑은 고딕"/>
        <family val="2"/>
      </rPr>
      <t>기다려주세요</t>
    </r>
    <r>
      <rPr>
        <sz val="9"/>
        <color theme="1"/>
        <rFont val="Calibri"/>
        <family val="2"/>
      </rPr>
      <t>...</t>
    </r>
  </si>
  <si>
    <r>
      <rPr>
        <sz val="9"/>
        <color theme="1"/>
        <rFont val="맑은 고딕"/>
        <family val="2"/>
      </rPr>
      <t>산출물명</t>
    </r>
    <r>
      <rPr>
        <sz val="9"/>
        <color theme="1"/>
        <rFont val="Calibri"/>
        <family val="2"/>
      </rPr>
      <t xml:space="preserve"> </t>
    </r>
    <r>
      <rPr>
        <sz val="9"/>
        <color theme="1"/>
        <rFont val="맑은 고딕"/>
        <family val="2"/>
      </rPr>
      <t>비었을때</t>
    </r>
    <r>
      <rPr>
        <sz val="9"/>
        <color theme="1"/>
        <rFont val="Calibri"/>
        <family val="2"/>
      </rPr>
      <t>\n</t>
    </r>
    <r>
      <rPr>
        <sz val="9"/>
        <color theme="1"/>
        <rFont val="맑은 고딕"/>
        <family val="2"/>
      </rPr>
      <t>선택목록에</t>
    </r>
    <r>
      <rPr>
        <sz val="9"/>
        <color theme="1"/>
        <rFont val="Calibri"/>
        <family val="2"/>
      </rPr>
      <t xml:space="preserve"> </t>
    </r>
    <r>
      <rPr>
        <sz val="9"/>
        <color theme="1"/>
        <rFont val="맑은 고딕"/>
        <family val="2"/>
      </rPr>
      <t>포함</t>
    </r>
    <r>
      <rPr>
        <sz val="9"/>
        <color theme="1"/>
        <rFont val="Calibri"/>
        <family val="2"/>
      </rPr>
      <t>\n</t>
    </r>
    <r>
      <rPr>
        <sz val="9"/>
        <color theme="1"/>
        <rFont val="맑은 고딕"/>
        <family val="2"/>
      </rPr>
      <t>여부</t>
    </r>
  </si>
  <si>
    <r>
      <rPr>
        <sz val="9"/>
        <color theme="1"/>
        <rFont val="맑은 고딕"/>
        <family val="2"/>
      </rPr>
      <t>작업레벨</t>
    </r>
    <r>
      <rPr>
        <sz val="9"/>
        <color theme="1"/>
        <rFont val="Calibri"/>
        <family val="2"/>
      </rPr>
      <t xml:space="preserve"> </t>
    </r>
    <r>
      <rPr>
        <sz val="9"/>
        <color theme="1"/>
        <rFont val="맑은 고딕"/>
        <family val="2"/>
      </rPr>
      <t>내림</t>
    </r>
  </si>
  <si>
    <r>
      <rPr>
        <sz val="9"/>
        <color theme="1"/>
        <rFont val="맑은 고딕"/>
        <family val="2"/>
      </rPr>
      <t>이미</t>
    </r>
    <r>
      <rPr>
        <sz val="9"/>
        <color theme="1"/>
        <rFont val="Calibri"/>
        <family val="2"/>
      </rPr>
      <t xml:space="preserve"> </t>
    </r>
    <r>
      <rPr>
        <sz val="9"/>
        <color theme="1"/>
        <rFont val="맑은 고딕"/>
        <family val="2"/>
      </rPr>
      <t>선택된</t>
    </r>
    <r>
      <rPr>
        <sz val="9"/>
        <color theme="1"/>
        <rFont val="Calibri"/>
        <family val="2"/>
      </rPr>
      <t xml:space="preserve"> </t>
    </r>
    <r>
      <rPr>
        <sz val="9"/>
        <color theme="1"/>
        <rFont val="맑은 고딕"/>
        <family val="2"/>
      </rPr>
      <t>언어입니다</t>
    </r>
    <r>
      <rPr>
        <sz val="9"/>
        <color theme="1"/>
        <rFont val="Calibri"/>
        <family val="2"/>
      </rPr>
      <t>.</t>
    </r>
  </si>
  <si>
    <r>
      <rPr>
        <sz val="9"/>
        <color theme="1"/>
        <rFont val="맑은 고딕"/>
        <family val="2"/>
      </rPr>
      <t>일정변경</t>
    </r>
    <r>
      <rPr>
        <sz val="9"/>
        <color theme="1"/>
        <rFont val="Calibri"/>
        <family val="2"/>
      </rPr>
      <t xml:space="preserve"> </t>
    </r>
    <r>
      <rPr>
        <sz val="9"/>
        <color theme="1"/>
        <rFont val="맑은 고딕"/>
        <family val="2"/>
      </rPr>
      <t>관리함</t>
    </r>
    <r>
      <rPr>
        <sz val="9"/>
        <color theme="1"/>
        <rFont val="Calibri"/>
        <family val="2"/>
      </rPr>
      <t>(</t>
    </r>
    <r>
      <rPr>
        <sz val="9"/>
        <color theme="1"/>
        <rFont val="맑은 고딕"/>
        <family val="2"/>
      </rPr>
      <t>시작일</t>
    </r>
    <r>
      <rPr>
        <sz val="9"/>
        <color theme="1"/>
        <rFont val="Calibri"/>
        <family val="2"/>
      </rPr>
      <t>/</t>
    </r>
    <r>
      <rPr>
        <sz val="9"/>
        <color theme="1"/>
        <rFont val="맑은 고딕"/>
        <family val="2"/>
      </rPr>
      <t>완료일</t>
    </r>
    <r>
      <rPr>
        <sz val="9"/>
        <color theme="1"/>
        <rFont val="Calibri"/>
        <family val="2"/>
      </rPr>
      <t xml:space="preserve">, </t>
    </r>
    <r>
      <rPr>
        <sz val="9"/>
        <color theme="1"/>
        <rFont val="맑은 고딕"/>
        <family val="2"/>
      </rPr>
      <t>실제시작일</t>
    </r>
    <r>
      <rPr>
        <sz val="9"/>
        <color theme="1"/>
        <rFont val="Calibri"/>
        <family val="2"/>
      </rPr>
      <t>/</t>
    </r>
    <r>
      <rPr>
        <sz val="9"/>
        <color theme="1"/>
        <rFont val="맑은 고딕"/>
        <family val="2"/>
      </rPr>
      <t>실제완료일</t>
    </r>
    <r>
      <rPr>
        <sz val="9"/>
        <color theme="1"/>
        <rFont val="Calibri"/>
        <family val="2"/>
      </rPr>
      <t xml:space="preserve"> </t>
    </r>
    <r>
      <rPr>
        <sz val="9"/>
        <color theme="1"/>
        <rFont val="맑은 고딕"/>
        <family val="2"/>
      </rPr>
      <t>사용</t>
    </r>
    <r>
      <rPr>
        <sz val="9"/>
        <color theme="1"/>
        <rFont val="Calibri"/>
        <family val="2"/>
      </rPr>
      <t>)</t>
    </r>
  </si>
  <si>
    <r>
      <t>yyyy</t>
    </r>
    <r>
      <rPr>
        <sz val="9"/>
        <color theme="1"/>
        <rFont val="맑은 고딕"/>
        <family val="2"/>
      </rPr>
      <t>년</t>
    </r>
    <r>
      <rPr>
        <sz val="9"/>
        <color theme="1"/>
        <rFont val="Calibri"/>
        <family val="2"/>
      </rPr>
      <t xml:space="preserve"> m</t>
    </r>
    <r>
      <rPr>
        <sz val="9"/>
        <color theme="1"/>
        <rFont val="맑은 고딕"/>
        <family val="2"/>
      </rPr>
      <t>월</t>
    </r>
  </si>
  <si>
    <r>
      <rPr>
        <sz val="9"/>
        <color theme="1"/>
        <rFont val="맑은 고딕"/>
        <family val="2"/>
      </rPr>
      <t>최신</t>
    </r>
    <r>
      <rPr>
        <sz val="9"/>
        <color theme="1"/>
        <rFont val="Calibri"/>
        <family val="2"/>
      </rPr>
      <t xml:space="preserve"> </t>
    </r>
    <r>
      <rPr>
        <sz val="9"/>
        <color theme="1"/>
        <rFont val="맑은 고딕"/>
        <family val="2"/>
      </rPr>
      <t>버전</t>
    </r>
  </si>
  <si>
    <r>
      <rPr>
        <sz val="9"/>
        <color theme="1"/>
        <rFont val="맑은 고딕"/>
        <family val="2"/>
      </rPr>
      <t>다음</t>
    </r>
    <r>
      <rPr>
        <sz val="9"/>
        <color theme="1"/>
        <rFont val="Calibri"/>
        <family val="2"/>
      </rPr>
      <t xml:space="preserve"> &gt;&gt;</t>
    </r>
  </si>
  <si>
    <r>
      <t>Calendar sheet</t>
    </r>
    <r>
      <rPr>
        <sz val="9"/>
        <color theme="1"/>
        <rFont val="맑은 고딕"/>
        <family val="2"/>
      </rPr>
      <t>에</t>
    </r>
    <r>
      <rPr>
        <sz val="9"/>
        <color theme="1"/>
        <rFont val="Calibri"/>
        <family val="2"/>
      </rPr>
      <t xml:space="preserve"> </t>
    </r>
    <r>
      <rPr>
        <sz val="9"/>
        <color theme="1"/>
        <rFont val="맑은 고딕"/>
        <family val="2"/>
      </rPr>
      <t>입력할</t>
    </r>
    <r>
      <rPr>
        <sz val="9"/>
        <color theme="1"/>
        <rFont val="Calibri"/>
        <family val="2"/>
      </rPr>
      <t xml:space="preserve"> </t>
    </r>
    <r>
      <rPr>
        <sz val="9"/>
        <color theme="1"/>
        <rFont val="맑은 고딕"/>
        <family val="2"/>
      </rPr>
      <t>필요</t>
    </r>
    <r>
      <rPr>
        <sz val="9"/>
        <color theme="1"/>
        <rFont val="Calibri"/>
        <family val="2"/>
      </rPr>
      <t xml:space="preserve"> </t>
    </r>
    <r>
      <rPr>
        <sz val="9"/>
        <color theme="1"/>
        <rFont val="맑은 고딕"/>
        <family val="2"/>
      </rPr>
      <t>없음</t>
    </r>
  </si>
  <si>
    <r>
      <rPr>
        <sz val="9"/>
        <color theme="1"/>
        <rFont val="맑은 고딕"/>
        <family val="2"/>
      </rPr>
      <t>일정변경</t>
    </r>
    <r>
      <rPr>
        <sz val="9"/>
        <color theme="1"/>
        <rFont val="Calibri"/>
        <family val="2"/>
      </rPr>
      <t xml:space="preserve"> </t>
    </r>
    <r>
      <rPr>
        <sz val="9"/>
        <color theme="1"/>
        <rFont val="맑은 고딕"/>
        <family val="2"/>
      </rPr>
      <t>관리</t>
    </r>
    <r>
      <rPr>
        <sz val="9"/>
        <color theme="1"/>
        <rFont val="Calibri"/>
        <family val="2"/>
      </rPr>
      <t xml:space="preserve"> </t>
    </r>
    <r>
      <rPr>
        <sz val="9"/>
        <color theme="1"/>
        <rFont val="맑은 고딕"/>
        <family val="2"/>
      </rPr>
      <t>안함</t>
    </r>
    <r>
      <rPr>
        <sz val="9"/>
        <color theme="1"/>
        <rFont val="Calibri"/>
        <family val="2"/>
      </rPr>
      <t>(</t>
    </r>
    <r>
      <rPr>
        <sz val="9"/>
        <color theme="1"/>
        <rFont val="맑은 고딕"/>
        <family val="2"/>
      </rPr>
      <t>시작일</t>
    </r>
    <r>
      <rPr>
        <sz val="9"/>
        <color theme="1"/>
        <rFont val="Calibri"/>
        <family val="2"/>
      </rPr>
      <t>/</t>
    </r>
    <r>
      <rPr>
        <sz val="9"/>
        <color theme="1"/>
        <rFont val="맑은 고딕"/>
        <family val="2"/>
      </rPr>
      <t>완료일만</t>
    </r>
    <r>
      <rPr>
        <sz val="9"/>
        <color theme="1"/>
        <rFont val="Calibri"/>
        <family val="2"/>
      </rPr>
      <t xml:space="preserve"> </t>
    </r>
    <r>
      <rPr>
        <sz val="9"/>
        <color theme="1"/>
        <rFont val="맑은 고딕"/>
        <family val="2"/>
      </rPr>
      <t>사용</t>
    </r>
    <r>
      <rPr>
        <sz val="9"/>
        <color theme="1"/>
        <rFont val="Calibri"/>
        <family val="2"/>
      </rPr>
      <t>)</t>
    </r>
  </si>
  <si>
    <r>
      <rPr>
        <sz val="9"/>
        <color theme="1"/>
        <rFont val="맑은 고딕"/>
        <family val="2"/>
      </rPr>
      <t>지정하지</t>
    </r>
    <r>
      <rPr>
        <sz val="9"/>
        <color theme="1"/>
        <rFont val="Calibri"/>
        <family val="2"/>
      </rPr>
      <t xml:space="preserve"> </t>
    </r>
    <r>
      <rPr>
        <sz val="9"/>
        <color theme="1"/>
        <rFont val="맑은 고딕"/>
        <family val="2"/>
      </rPr>
      <t>않음</t>
    </r>
    <r>
      <rPr>
        <sz val="9"/>
        <color theme="1"/>
        <rFont val="Calibri"/>
        <family val="2"/>
      </rPr>
      <t>(</t>
    </r>
    <r>
      <rPr>
        <sz val="9"/>
        <color theme="1"/>
        <rFont val="맑은 고딕"/>
        <family val="2"/>
      </rPr>
      <t>표준캘린더</t>
    </r>
    <r>
      <rPr>
        <sz val="9"/>
        <color theme="1"/>
        <rFont val="Calibri"/>
        <family val="2"/>
      </rPr>
      <t>)</t>
    </r>
  </si>
  <si>
    <r>
      <t>1~2</t>
    </r>
    <r>
      <rPr>
        <sz val="9"/>
        <color theme="1"/>
        <rFont val="맑은 고딕"/>
        <family val="2"/>
      </rPr>
      <t>행</t>
    </r>
    <r>
      <rPr>
        <sz val="9"/>
        <color theme="1"/>
        <rFont val="Calibri"/>
        <family val="2"/>
      </rPr>
      <t xml:space="preserve"> </t>
    </r>
    <r>
      <rPr>
        <sz val="9"/>
        <color theme="1"/>
        <rFont val="맑은 고딕"/>
        <family val="2"/>
      </rPr>
      <t>중</t>
    </r>
    <r>
      <rPr>
        <sz val="9"/>
        <color theme="1"/>
        <rFont val="Calibri"/>
        <family val="2"/>
      </rPr>
      <t xml:space="preserve"> </t>
    </r>
    <r>
      <rPr>
        <sz val="9"/>
        <color theme="1"/>
        <rFont val="맑은 고딕"/>
        <family val="2"/>
      </rPr>
      <t>한</t>
    </r>
    <r>
      <rPr>
        <sz val="9"/>
        <color theme="1"/>
        <rFont val="Calibri"/>
        <family val="2"/>
      </rPr>
      <t xml:space="preserve"> </t>
    </r>
    <r>
      <rPr>
        <sz val="9"/>
        <color theme="1"/>
        <rFont val="맑은 고딕"/>
        <family val="2"/>
      </rPr>
      <t>행이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작업하십시오</t>
    </r>
    <r>
      <rPr>
        <sz val="9"/>
        <color theme="1"/>
        <rFont val="Calibri"/>
        <family val="2"/>
      </rPr>
      <t>.</t>
    </r>
  </si>
  <si>
    <r>
      <t>"</t>
    </r>
    <r>
      <rPr>
        <sz val="9"/>
        <color theme="1"/>
        <rFont val="맑은 고딕"/>
        <family val="2"/>
      </rPr>
      <t>같은</t>
    </r>
    <r>
      <rPr>
        <sz val="9"/>
        <color theme="1"/>
        <rFont val="Calibri"/>
        <family val="2"/>
      </rPr>
      <t xml:space="preserve"> </t>
    </r>
    <r>
      <rPr>
        <sz val="9"/>
        <color theme="1"/>
        <rFont val="맑은 고딕"/>
        <family val="2"/>
      </rPr>
      <t>필드에</t>
    </r>
    <r>
      <rPr>
        <sz val="9"/>
        <color theme="1"/>
        <rFont val="Calibri"/>
        <family val="2"/>
      </rPr>
      <t xml:space="preserve"> </t>
    </r>
    <r>
      <rPr>
        <sz val="9"/>
        <color theme="1"/>
        <rFont val="맑은 고딕"/>
        <family val="2"/>
      </rPr>
      <t>작업명</t>
    </r>
    <r>
      <rPr>
        <sz val="9"/>
        <color theme="1"/>
        <rFont val="Calibri"/>
        <family val="2"/>
      </rPr>
      <t xml:space="preserve"> </t>
    </r>
    <r>
      <rPr>
        <sz val="9"/>
        <color theme="1"/>
        <rFont val="맑은 고딕"/>
        <family val="2"/>
      </rPr>
      <t>표시</t>
    </r>
    <r>
      <rPr>
        <sz val="9"/>
        <color theme="1"/>
        <rFont val="Calibri"/>
        <family val="2"/>
      </rPr>
      <t xml:space="preserve">" </t>
    </r>
    <r>
      <rPr>
        <sz val="9"/>
        <color theme="1"/>
        <rFont val="맑은 고딕"/>
        <family val="2"/>
      </rPr>
      <t>옵션을</t>
    </r>
    <r>
      <rPr>
        <sz val="9"/>
        <color theme="1"/>
        <rFont val="Calibri"/>
        <family val="2"/>
      </rPr>
      <t xml:space="preserve"> </t>
    </r>
    <r>
      <rPr>
        <sz val="9"/>
        <color theme="1"/>
        <rFont val="맑은 고딕"/>
        <family val="2"/>
      </rPr>
      <t>선택했으면</t>
    </r>
    <r>
      <rPr>
        <sz val="9"/>
        <color theme="1"/>
        <rFont val="Calibri"/>
        <family val="2"/>
      </rPr>
      <t xml:space="preserve"> WBS No. </t>
    </r>
    <r>
      <rPr>
        <sz val="9"/>
        <color theme="1"/>
        <rFont val="맑은 고딕"/>
        <family val="2"/>
      </rPr>
      <t>또는</t>
    </r>
    <r>
      <rPr>
        <sz val="9"/>
        <color theme="1"/>
        <rFont val="Calibri"/>
        <family val="2"/>
      </rPr>
      <t xml:space="preserve"> </t>
    </r>
    <r>
      <rPr>
        <sz val="9"/>
        <color theme="1"/>
        <rFont val="맑은 고딕"/>
        <family val="2"/>
      </rPr>
      <t>개요수준</t>
    </r>
    <r>
      <rPr>
        <sz val="9"/>
        <color theme="1"/>
        <rFont val="Calibri"/>
        <family val="2"/>
      </rPr>
      <t xml:space="preserve">(WBS Level) </t>
    </r>
    <r>
      <rPr>
        <sz val="9"/>
        <color theme="1"/>
        <rFont val="맑은 고딕"/>
        <family val="2"/>
      </rPr>
      <t>필드</t>
    </r>
    <r>
      <rPr>
        <sz val="9"/>
        <color theme="1"/>
        <rFont val="Calibri"/>
        <family val="2"/>
      </rPr>
      <t xml:space="preserve"> </t>
    </r>
    <r>
      <rPr>
        <sz val="9"/>
        <color theme="1"/>
        <rFont val="맑은 고딕"/>
        <family val="2"/>
      </rPr>
      <t>중</t>
    </r>
    <r>
      <rPr>
        <sz val="9"/>
        <color theme="1"/>
        <rFont val="Calibri"/>
        <family val="2"/>
      </rPr>
      <t xml:space="preserve"> </t>
    </r>
    <r>
      <rPr>
        <sz val="9"/>
        <color theme="1"/>
        <rFont val="맑은 고딕"/>
        <family val="2"/>
      </rPr>
      <t>하나는</t>
    </r>
    <r>
      <rPr>
        <sz val="9"/>
        <color theme="1"/>
        <rFont val="Calibri"/>
        <family val="2"/>
      </rPr>
      <t xml:space="preserve"> </t>
    </r>
    <r>
      <rPr>
        <sz val="9"/>
        <color theme="1"/>
        <rFont val="맑은 고딕"/>
        <family val="2"/>
      </rPr>
      <t>선택되어야</t>
    </r>
    <r>
      <rPr>
        <sz val="9"/>
        <color theme="1"/>
        <rFont val="Calibri"/>
        <family val="2"/>
      </rPr>
      <t xml:space="preserve"> </t>
    </r>
    <r>
      <rPr>
        <sz val="9"/>
        <color theme="1"/>
        <rFont val="맑은 고딕"/>
        <family val="2"/>
      </rPr>
      <t>합니다</t>
    </r>
  </si>
  <si>
    <r>
      <rPr>
        <sz val="9"/>
        <color theme="1"/>
        <rFont val="맑은 고딕"/>
        <family val="2"/>
      </rPr>
      <t>산출물</t>
    </r>
    <r>
      <rPr>
        <sz val="9"/>
        <color theme="1"/>
        <rFont val="Calibri"/>
        <family val="2"/>
      </rPr>
      <t xml:space="preserve"> </t>
    </r>
    <r>
      <rPr>
        <sz val="9"/>
        <color theme="1"/>
        <rFont val="맑은 고딕"/>
        <family val="2"/>
      </rPr>
      <t>열기</t>
    </r>
  </si>
  <si>
    <r>
      <rPr>
        <sz val="9"/>
        <color theme="1"/>
        <rFont val="맑은 고딕"/>
        <family val="2"/>
      </rPr>
      <t>산출물</t>
    </r>
    <r>
      <rPr>
        <sz val="9"/>
        <color theme="1"/>
        <rFont val="Calibri"/>
        <family val="2"/>
      </rPr>
      <t xml:space="preserve"> </t>
    </r>
    <r>
      <rPr>
        <sz val="9"/>
        <color theme="1"/>
        <rFont val="맑은 고딕"/>
        <family val="2"/>
      </rPr>
      <t>폴더</t>
    </r>
    <r>
      <rPr>
        <sz val="9"/>
        <color theme="1"/>
        <rFont val="Calibri"/>
        <family val="2"/>
      </rPr>
      <t xml:space="preserve"> </t>
    </r>
    <r>
      <rPr>
        <sz val="9"/>
        <color theme="1"/>
        <rFont val="맑은 고딕"/>
        <family val="2"/>
      </rPr>
      <t>열기</t>
    </r>
  </si>
  <si>
    <r>
      <rPr>
        <sz val="9"/>
        <color theme="1"/>
        <rFont val="맑은 고딕"/>
        <family val="2"/>
      </rPr>
      <t>작업레벨</t>
    </r>
    <r>
      <rPr>
        <sz val="9"/>
        <color theme="1"/>
        <rFont val="Calibri"/>
        <family val="2"/>
      </rPr>
      <t xml:space="preserve"> </t>
    </r>
    <r>
      <rPr>
        <sz val="9"/>
        <color theme="1"/>
        <rFont val="맑은 고딕"/>
        <family val="2"/>
      </rPr>
      <t>올림</t>
    </r>
  </si>
  <si>
    <r>
      <rPr>
        <sz val="9"/>
        <color theme="1"/>
        <rFont val="맑은 고딕"/>
        <family val="2"/>
      </rPr>
      <t>퍼센트</t>
    </r>
    <r>
      <rPr>
        <sz val="9"/>
        <color theme="1"/>
        <rFont val="Calibri"/>
        <family val="2"/>
      </rPr>
      <t xml:space="preserve"> </t>
    </r>
    <r>
      <rPr>
        <sz val="9"/>
        <color theme="1"/>
        <rFont val="맑은 고딕"/>
        <family val="2"/>
      </rPr>
      <t>지정</t>
    </r>
  </si>
  <si>
    <r>
      <rPr>
        <sz val="9"/>
        <color theme="1"/>
        <rFont val="맑은 고딕"/>
        <family val="2"/>
      </rPr>
      <t>진척작업량</t>
    </r>
    <r>
      <rPr>
        <sz val="9"/>
        <color theme="1"/>
        <rFont val="Calibri"/>
        <family val="2"/>
      </rPr>
      <t>( C )\nMan-day</t>
    </r>
  </si>
  <si>
    <r>
      <rPr>
        <sz val="9"/>
        <color theme="1"/>
        <rFont val="맑은 고딕"/>
        <family val="2"/>
      </rPr>
      <t>계획일정대비</t>
    </r>
    <r>
      <rPr>
        <sz val="9"/>
        <color theme="1"/>
        <rFont val="Calibri"/>
        <family val="2"/>
      </rPr>
      <t xml:space="preserve"> </t>
    </r>
    <r>
      <rPr>
        <sz val="9"/>
        <color theme="1"/>
        <rFont val="맑은 고딕"/>
        <family val="2"/>
      </rPr>
      <t>진행된</t>
    </r>
    <r>
      <rPr>
        <sz val="9"/>
        <color theme="1"/>
        <rFont val="Calibri"/>
        <family val="2"/>
      </rPr>
      <t xml:space="preserve"> </t>
    </r>
    <r>
      <rPr>
        <sz val="9"/>
        <color theme="1"/>
        <rFont val="맑은 고딕"/>
        <family val="2"/>
      </rPr>
      <t>작업량</t>
    </r>
  </si>
  <si>
    <r>
      <rPr>
        <sz val="9"/>
        <color theme="1"/>
        <rFont val="맑은 고딕"/>
        <family val="2"/>
      </rPr>
      <t>일정변경관리</t>
    </r>
    <r>
      <rPr>
        <sz val="9"/>
        <color theme="1"/>
        <rFont val="Calibri"/>
        <family val="2"/>
      </rPr>
      <t xml:space="preserve"> </t>
    </r>
    <r>
      <rPr>
        <sz val="9"/>
        <color theme="1"/>
        <rFont val="맑은 고딕"/>
        <family val="2"/>
      </rPr>
      <t>할때</t>
    </r>
    <r>
      <rPr>
        <sz val="9"/>
        <color theme="1"/>
        <rFont val="Calibri"/>
        <family val="2"/>
      </rPr>
      <t xml:space="preserve"> </t>
    </r>
    <r>
      <rPr>
        <sz val="9"/>
        <color theme="1"/>
        <rFont val="맑은 고딕"/>
        <family val="2"/>
      </rPr>
      <t>계획일정대비</t>
    </r>
    <r>
      <rPr>
        <sz val="9"/>
        <color theme="1"/>
        <rFont val="Calibri"/>
        <family val="2"/>
      </rPr>
      <t xml:space="preserve"> </t>
    </r>
    <r>
      <rPr>
        <sz val="9"/>
        <color theme="1"/>
        <rFont val="맑은 고딕"/>
        <family val="2"/>
      </rPr>
      <t>진행된</t>
    </r>
    <r>
      <rPr>
        <sz val="9"/>
        <color theme="1"/>
        <rFont val="Calibri"/>
        <family val="2"/>
      </rPr>
      <t xml:space="preserve"> </t>
    </r>
    <r>
      <rPr>
        <sz val="9"/>
        <color theme="1"/>
        <rFont val="맑은 고딕"/>
        <family val="2"/>
      </rPr>
      <t>작업량</t>
    </r>
    <r>
      <rPr>
        <sz val="9"/>
        <color theme="1"/>
        <rFont val="Calibri"/>
        <family val="2"/>
      </rPr>
      <t>(</t>
    </r>
    <r>
      <rPr>
        <sz val="9"/>
        <color theme="1"/>
        <rFont val="맑은 고딕"/>
        <family val="2"/>
      </rPr>
      <t>총기간</t>
    </r>
    <r>
      <rPr>
        <sz val="9"/>
        <color theme="1"/>
        <rFont val="Calibri"/>
        <family val="2"/>
      </rPr>
      <t xml:space="preserve"> x </t>
    </r>
    <r>
      <rPr>
        <sz val="9"/>
        <color theme="1"/>
        <rFont val="맑은 고딕"/>
        <family val="2"/>
      </rPr>
      <t>총실적진행율</t>
    </r>
    <r>
      <rPr>
        <sz val="9"/>
        <color theme="1"/>
        <rFont val="Calibri"/>
        <family val="2"/>
      </rPr>
      <t>)</t>
    </r>
  </si>
  <si>
    <r>
      <rPr>
        <sz val="9"/>
        <color theme="1"/>
        <rFont val="맑은 고딕"/>
        <family val="2"/>
      </rPr>
      <t>날짜</t>
    </r>
    <r>
      <rPr>
        <sz val="9"/>
        <color theme="1"/>
        <rFont val="Calibri"/>
        <family val="2"/>
      </rPr>
      <t xml:space="preserve"> </t>
    </r>
    <r>
      <rPr>
        <sz val="9"/>
        <color theme="1"/>
        <rFont val="맑은 고딕"/>
        <family val="2"/>
      </rPr>
      <t>선택</t>
    </r>
  </si>
  <si>
    <r>
      <rPr>
        <sz val="9"/>
        <color theme="1"/>
        <rFont val="맑은 고딕"/>
        <family val="2"/>
      </rPr>
      <t>현재날짜까지</t>
    </r>
    <r>
      <rPr>
        <sz val="9"/>
        <color theme="1"/>
        <rFont val="Calibri"/>
        <family val="2"/>
      </rPr>
      <t xml:space="preserve"> </t>
    </r>
    <r>
      <rPr>
        <sz val="9"/>
        <color theme="1"/>
        <rFont val="맑은 고딕"/>
        <family val="2"/>
      </rPr>
      <t>계획된</t>
    </r>
    <r>
      <rPr>
        <sz val="9"/>
        <color theme="1"/>
        <rFont val="Calibri"/>
        <family val="2"/>
      </rPr>
      <t xml:space="preserve"> </t>
    </r>
    <r>
      <rPr>
        <sz val="9"/>
        <color theme="1"/>
        <rFont val="맑은 고딕"/>
        <family val="2"/>
      </rPr>
      <t>진척율</t>
    </r>
    <r>
      <rPr>
        <sz val="9"/>
        <color theme="1"/>
        <rFont val="Calibri"/>
        <family val="2"/>
      </rPr>
      <t>, WBS</t>
    </r>
    <r>
      <rPr>
        <sz val="9"/>
        <color theme="1"/>
        <rFont val="맑은 고딕"/>
        <family val="2"/>
      </rPr>
      <t>의</t>
    </r>
    <r>
      <rPr>
        <sz val="9"/>
        <color theme="1"/>
        <rFont val="Calibri"/>
        <family val="2"/>
      </rPr>
      <t xml:space="preserve"> "</t>
    </r>
    <r>
      <rPr>
        <sz val="9"/>
        <color theme="1"/>
        <rFont val="맑은 고딕"/>
        <family val="2"/>
      </rPr>
      <t>계획진척율</t>
    </r>
    <r>
      <rPr>
        <sz val="9"/>
        <color theme="1"/>
        <rFont val="Calibri"/>
        <family val="2"/>
      </rPr>
      <t>"</t>
    </r>
    <r>
      <rPr>
        <sz val="9"/>
        <color theme="1"/>
        <rFont val="맑은 고딕"/>
        <family val="2"/>
      </rPr>
      <t>의</t>
    </r>
    <r>
      <rPr>
        <sz val="9"/>
        <color theme="1"/>
        <rFont val="Calibri"/>
        <family val="2"/>
      </rPr>
      <t xml:space="preserve"> </t>
    </r>
    <r>
      <rPr>
        <sz val="9"/>
        <color theme="1"/>
        <rFont val="맑은 고딕"/>
        <family val="2"/>
      </rPr>
      <t>전체</t>
    </r>
    <r>
      <rPr>
        <sz val="9"/>
        <color theme="1"/>
        <rFont val="Calibri"/>
        <family val="2"/>
      </rPr>
      <t xml:space="preserve"> </t>
    </r>
    <r>
      <rPr>
        <sz val="9"/>
        <color theme="1"/>
        <rFont val="맑은 고딕"/>
        <family val="2"/>
      </rPr>
      <t>합계</t>
    </r>
    <r>
      <rPr>
        <sz val="9"/>
        <color theme="1"/>
        <rFont val="Calibri"/>
        <family val="2"/>
      </rPr>
      <t xml:space="preserve"> </t>
    </r>
    <r>
      <rPr>
        <sz val="9"/>
        <color theme="1"/>
        <rFont val="맑은 고딕"/>
        <family val="2"/>
      </rPr>
      <t>진척율을</t>
    </r>
    <r>
      <rPr>
        <sz val="9"/>
        <color theme="1"/>
        <rFont val="Calibri"/>
        <family val="2"/>
      </rPr>
      <t xml:space="preserve"> </t>
    </r>
    <r>
      <rPr>
        <sz val="9"/>
        <color theme="1"/>
        <rFont val="맑은 고딕"/>
        <family val="2"/>
      </rPr>
      <t>표시함</t>
    </r>
  </si>
  <si>
    <r>
      <rPr>
        <sz val="9"/>
        <color theme="1"/>
        <rFont val="맑은 고딕"/>
        <family val="2"/>
      </rPr>
      <t>계획</t>
    </r>
    <r>
      <rPr>
        <sz val="9"/>
        <color theme="1"/>
        <rFont val="Calibri"/>
        <family val="2"/>
      </rPr>
      <t xml:space="preserve"> </t>
    </r>
    <r>
      <rPr>
        <sz val="9"/>
        <color theme="1"/>
        <rFont val="맑은 고딕"/>
        <family val="2"/>
      </rPr>
      <t>진척율</t>
    </r>
    <r>
      <rPr>
        <sz val="9"/>
        <color theme="1"/>
        <rFont val="Calibri"/>
        <family val="2"/>
      </rPr>
      <t>(A)</t>
    </r>
  </si>
  <si>
    <r>
      <rPr>
        <sz val="9"/>
        <color theme="1"/>
        <rFont val="맑은 고딕"/>
        <family val="2"/>
      </rPr>
      <t>계획</t>
    </r>
    <r>
      <rPr>
        <sz val="9"/>
        <color theme="1"/>
        <rFont val="Calibri"/>
        <family val="2"/>
      </rPr>
      <t>(B/A)</t>
    </r>
  </si>
  <si>
    <r>
      <rPr>
        <sz val="9"/>
        <color theme="1"/>
        <rFont val="맑은 고딕"/>
        <family val="2"/>
      </rPr>
      <t>계획진척율</t>
    </r>
    <r>
      <rPr>
        <sz val="9"/>
        <color theme="1"/>
        <rFont val="Calibri"/>
        <family val="2"/>
      </rPr>
      <t>(</t>
    </r>
    <r>
      <rPr>
        <sz val="9"/>
        <color theme="1"/>
        <rFont val="맑은 고딕"/>
        <family val="2"/>
      </rPr>
      <t>주별</t>
    </r>
    <r>
      <rPr>
        <sz val="9"/>
        <color theme="1"/>
        <rFont val="Calibri"/>
        <family val="2"/>
      </rPr>
      <t>)</t>
    </r>
  </si>
  <si>
    <r>
      <rPr>
        <sz val="9"/>
        <color theme="1"/>
        <rFont val="맑은 고딕"/>
        <family val="2"/>
      </rPr>
      <t>계획작업량</t>
    </r>
    <r>
      <rPr>
        <sz val="9"/>
        <color theme="1"/>
        <rFont val="Calibri"/>
        <family val="2"/>
      </rPr>
      <t>(B)\nMan-day</t>
    </r>
  </si>
  <si>
    <r>
      <rPr>
        <sz val="9"/>
        <color theme="1"/>
        <rFont val="맑은 고딕"/>
        <family val="2"/>
      </rPr>
      <t>계획</t>
    </r>
    <r>
      <rPr>
        <sz val="9"/>
        <color theme="1"/>
        <rFont val="Calibri"/>
        <family val="2"/>
      </rPr>
      <t xml:space="preserve"> </t>
    </r>
    <r>
      <rPr>
        <sz val="9"/>
        <color theme="1"/>
        <rFont val="맑은 고딕"/>
        <family val="2"/>
      </rPr>
      <t xml:space="preserve">작업량_x000D_
</t>
    </r>
    <r>
      <rPr>
        <sz val="9"/>
        <color theme="1"/>
        <rFont val="Calibri"/>
        <family val="2"/>
      </rPr>
      <t>(</t>
    </r>
    <r>
      <rPr>
        <sz val="9"/>
        <color theme="1"/>
        <rFont val="맑은 고딕"/>
        <family val="2"/>
      </rPr>
      <t>현재일까지</t>
    </r>
    <r>
      <rPr>
        <sz val="9"/>
        <color theme="1"/>
        <rFont val="Calibri"/>
        <family val="2"/>
      </rPr>
      <t xml:space="preserve">ManDay,_x000D_
</t>
    </r>
    <r>
      <rPr>
        <sz val="9"/>
        <color theme="1"/>
        <rFont val="맑은 고딕"/>
        <family val="2"/>
      </rPr>
      <t>가중치</t>
    </r>
    <r>
      <rPr>
        <sz val="9"/>
        <color theme="1"/>
        <rFont val="Calibri"/>
        <family val="2"/>
      </rPr>
      <t xml:space="preserve"> </t>
    </r>
    <r>
      <rPr>
        <sz val="9"/>
        <color theme="1"/>
        <rFont val="맑은 고딕"/>
        <family val="2"/>
      </rPr>
      <t>감안</t>
    </r>
    <r>
      <rPr>
        <sz val="9"/>
        <color theme="1"/>
        <rFont val="Calibri"/>
        <family val="2"/>
      </rPr>
      <t>)</t>
    </r>
  </si>
  <si>
    <r>
      <rPr>
        <sz val="9"/>
        <color theme="1"/>
        <rFont val="맑은 고딕"/>
        <family val="2"/>
      </rPr>
      <t>현재일까지</t>
    </r>
    <r>
      <rPr>
        <sz val="9"/>
        <color theme="1"/>
        <rFont val="Calibri"/>
        <family val="2"/>
      </rPr>
      <t xml:space="preserve"> </t>
    </r>
    <r>
      <rPr>
        <sz val="9"/>
        <color theme="1"/>
        <rFont val="맑은 고딕"/>
        <family val="2"/>
      </rPr>
      <t>계획된</t>
    </r>
    <r>
      <rPr>
        <sz val="9"/>
        <color theme="1"/>
        <rFont val="Calibri"/>
        <family val="2"/>
      </rPr>
      <t xml:space="preserve"> </t>
    </r>
    <r>
      <rPr>
        <sz val="9"/>
        <color theme="1"/>
        <rFont val="맑은 고딕"/>
        <family val="2"/>
      </rPr>
      <t>작업량</t>
    </r>
  </si>
  <si>
    <r>
      <rPr>
        <sz val="9"/>
        <color theme="1"/>
        <rFont val="맑은 고딕"/>
        <family val="2"/>
      </rPr>
      <t>해당작업의</t>
    </r>
    <r>
      <rPr>
        <sz val="9"/>
        <color theme="1"/>
        <rFont val="Calibri"/>
        <family val="2"/>
      </rPr>
      <t xml:space="preserve"> </t>
    </r>
    <r>
      <rPr>
        <sz val="9"/>
        <color theme="1"/>
        <rFont val="맑은 고딕"/>
        <family val="2"/>
      </rPr>
      <t>시작일부터</t>
    </r>
    <r>
      <rPr>
        <sz val="9"/>
        <color theme="1"/>
        <rFont val="Calibri"/>
        <family val="2"/>
      </rPr>
      <t xml:space="preserve"> </t>
    </r>
    <r>
      <rPr>
        <sz val="9"/>
        <color theme="1"/>
        <rFont val="맑은 고딕"/>
        <family val="2"/>
      </rPr>
      <t>현재일까지의</t>
    </r>
    <r>
      <rPr>
        <sz val="9"/>
        <color theme="1"/>
        <rFont val="Calibri"/>
        <family val="2"/>
      </rPr>
      <t xml:space="preserve"> </t>
    </r>
    <r>
      <rPr>
        <sz val="9"/>
        <color theme="1"/>
        <rFont val="맑은 고딕"/>
        <family val="2"/>
      </rPr>
      <t>작업기간을</t>
    </r>
    <r>
      <rPr>
        <sz val="9"/>
        <color theme="1"/>
        <rFont val="Calibri"/>
        <family val="2"/>
      </rPr>
      <t xml:space="preserve"> </t>
    </r>
    <r>
      <rPr>
        <sz val="9"/>
        <color theme="1"/>
        <rFont val="맑은 고딕"/>
        <family val="2"/>
      </rPr>
      <t>의미함</t>
    </r>
    <r>
      <rPr>
        <sz val="9"/>
        <color theme="1"/>
        <rFont val="Calibri"/>
        <family val="2"/>
      </rPr>
      <t>(</t>
    </r>
    <r>
      <rPr>
        <sz val="9"/>
        <color theme="1"/>
        <rFont val="맑은 고딕"/>
        <family val="2"/>
      </rPr>
      <t>현재</t>
    </r>
    <r>
      <rPr>
        <sz val="9"/>
        <color theme="1"/>
        <rFont val="Calibri"/>
        <family val="2"/>
      </rPr>
      <t xml:space="preserve"> </t>
    </r>
    <r>
      <rPr>
        <sz val="9"/>
        <color theme="1"/>
        <rFont val="맑은 고딕"/>
        <family val="2"/>
      </rPr>
      <t>날짜까지</t>
    </r>
    <r>
      <rPr>
        <sz val="9"/>
        <color theme="1"/>
        <rFont val="Calibri"/>
        <family val="2"/>
      </rPr>
      <t xml:space="preserve"> </t>
    </r>
    <r>
      <rPr>
        <sz val="9"/>
        <color theme="1"/>
        <rFont val="맑은 고딕"/>
        <family val="2"/>
      </rPr>
      <t>진행되었어야</t>
    </r>
    <r>
      <rPr>
        <sz val="9"/>
        <color theme="1"/>
        <rFont val="Calibri"/>
        <family val="2"/>
      </rPr>
      <t xml:space="preserve"> </t>
    </r>
    <r>
      <rPr>
        <sz val="9"/>
        <color theme="1"/>
        <rFont val="맑은 고딕"/>
        <family val="2"/>
      </rPr>
      <t>할</t>
    </r>
    <r>
      <rPr>
        <sz val="9"/>
        <color theme="1"/>
        <rFont val="Calibri"/>
        <family val="2"/>
      </rPr>
      <t xml:space="preserve"> </t>
    </r>
    <r>
      <rPr>
        <sz val="9"/>
        <color theme="1"/>
        <rFont val="맑은 고딕"/>
        <family val="2"/>
      </rPr>
      <t>기간</t>
    </r>
    <r>
      <rPr>
        <sz val="9"/>
        <color theme="1"/>
        <rFont val="Calibri"/>
        <family val="2"/>
      </rPr>
      <t>)</t>
    </r>
  </si>
  <si>
    <r>
      <rPr>
        <sz val="9"/>
        <color theme="1"/>
        <rFont val="맑은 고딕"/>
        <family val="2"/>
      </rPr>
      <t>계획</t>
    </r>
    <r>
      <rPr>
        <sz val="9"/>
        <color theme="1"/>
        <rFont val="Calibri"/>
        <family val="2"/>
      </rPr>
      <t>\n</t>
    </r>
    <r>
      <rPr>
        <sz val="9"/>
        <color theme="1"/>
        <rFont val="맑은 고딕"/>
        <family val="2"/>
      </rPr>
      <t>작업량</t>
    </r>
  </si>
  <si>
    <r>
      <rPr>
        <sz val="9"/>
        <color theme="1"/>
        <rFont val="맑은 고딕"/>
        <family val="2"/>
      </rPr>
      <t>작업필드의</t>
    </r>
    <r>
      <rPr>
        <sz val="9"/>
        <color theme="1"/>
        <rFont val="Calibri"/>
        <family val="2"/>
      </rPr>
      <t xml:space="preserve"> </t>
    </r>
    <r>
      <rPr>
        <sz val="9"/>
        <color theme="1"/>
        <rFont val="맑은 고딕"/>
        <family val="2"/>
      </rPr>
      <t>유형을</t>
    </r>
    <r>
      <rPr>
        <sz val="9"/>
        <color theme="1"/>
        <rFont val="Calibri"/>
        <family val="2"/>
      </rPr>
      <t xml:space="preserve"> </t>
    </r>
    <r>
      <rPr>
        <sz val="9"/>
        <color theme="1"/>
        <rFont val="맑은 고딕"/>
        <family val="2"/>
      </rPr>
      <t>선택하세요</t>
    </r>
    <r>
      <rPr>
        <sz val="9"/>
        <color theme="1"/>
        <rFont val="Calibri"/>
        <family val="2"/>
      </rPr>
      <t>.</t>
    </r>
  </si>
  <si>
    <r>
      <rPr>
        <sz val="9"/>
        <color theme="1"/>
        <rFont val="맑은 고딕"/>
        <family val="2"/>
      </rPr>
      <t>확장자명을</t>
    </r>
    <r>
      <rPr>
        <sz val="9"/>
        <color theme="1"/>
        <rFont val="Calibri"/>
        <family val="2"/>
      </rPr>
      <t xml:space="preserve"> </t>
    </r>
    <r>
      <rPr>
        <sz val="9"/>
        <color theme="1"/>
        <rFont val="맑은 고딕"/>
        <family val="2"/>
      </rPr>
      <t>입력하세요</t>
    </r>
    <r>
      <rPr>
        <sz val="9"/>
        <color theme="1"/>
        <rFont val="Calibri"/>
        <family val="2"/>
      </rPr>
      <t>.</t>
    </r>
  </si>
  <si>
    <r>
      <rPr>
        <sz val="9"/>
        <color theme="1"/>
        <rFont val="맑은 고딕"/>
        <family val="2"/>
      </rPr>
      <t>산출물이</t>
    </r>
    <r>
      <rPr>
        <sz val="9"/>
        <color theme="1"/>
        <rFont val="Calibri"/>
        <family val="2"/>
      </rPr>
      <t xml:space="preserve"> </t>
    </r>
    <r>
      <rPr>
        <sz val="9"/>
        <color theme="1"/>
        <rFont val="맑은 고딕"/>
        <family val="2"/>
      </rPr>
      <t>저장될</t>
    </r>
    <r>
      <rPr>
        <sz val="9"/>
        <color theme="1"/>
        <rFont val="Calibri"/>
        <family val="2"/>
      </rPr>
      <t xml:space="preserve"> </t>
    </r>
    <r>
      <rPr>
        <sz val="9"/>
        <color theme="1"/>
        <rFont val="맑은 고딕"/>
        <family val="2"/>
      </rPr>
      <t>특정경로를</t>
    </r>
    <r>
      <rPr>
        <sz val="9"/>
        <color theme="1"/>
        <rFont val="Calibri"/>
        <family val="2"/>
      </rPr>
      <t xml:space="preserve"> </t>
    </r>
    <r>
      <rPr>
        <sz val="9"/>
        <color theme="1"/>
        <rFont val="맑은 고딕"/>
        <family val="2"/>
      </rPr>
      <t>입력하세요</t>
    </r>
    <r>
      <rPr>
        <sz val="9"/>
        <color theme="1"/>
        <rFont val="Calibri"/>
        <family val="2"/>
      </rPr>
      <t>.</t>
    </r>
  </si>
  <si>
    <r>
      <rPr>
        <sz val="9"/>
        <color theme="1"/>
        <rFont val="맑은 고딕"/>
        <family val="2"/>
      </rPr>
      <t>프로그램</t>
    </r>
    <r>
      <rPr>
        <sz val="9"/>
        <color theme="1"/>
        <rFont val="Calibri"/>
        <family val="2"/>
      </rPr>
      <t xml:space="preserve"> </t>
    </r>
    <r>
      <rPr>
        <sz val="9"/>
        <color theme="1"/>
        <rFont val="맑은 고딕"/>
        <family val="2"/>
      </rPr>
      <t>실행경로를</t>
    </r>
    <r>
      <rPr>
        <sz val="9"/>
        <color theme="1"/>
        <rFont val="Calibri"/>
        <family val="2"/>
      </rPr>
      <t xml:space="preserve"> </t>
    </r>
    <r>
      <rPr>
        <sz val="9"/>
        <color theme="1"/>
        <rFont val="맑은 고딕"/>
        <family val="2"/>
      </rPr>
      <t>입력하세요</t>
    </r>
    <r>
      <rPr>
        <sz val="9"/>
        <color theme="1"/>
        <rFont val="Calibri"/>
        <family val="2"/>
      </rPr>
      <t>.</t>
    </r>
  </si>
  <si>
    <r>
      <rPr>
        <sz val="9"/>
        <color theme="1"/>
        <rFont val="맑은 고딕"/>
        <family val="2"/>
      </rPr>
      <t>이</t>
    </r>
    <r>
      <rPr>
        <sz val="9"/>
        <color theme="1"/>
        <rFont val="Calibri"/>
        <family val="2"/>
      </rPr>
      <t xml:space="preserve"> Sheet</t>
    </r>
    <r>
      <rPr>
        <sz val="9"/>
        <color theme="1"/>
        <rFont val="맑은 고딕"/>
        <family val="2"/>
      </rPr>
      <t>에서</t>
    </r>
    <r>
      <rPr>
        <sz val="9"/>
        <color theme="1"/>
        <rFont val="Calibri"/>
        <family val="2"/>
      </rPr>
      <t xml:space="preserve"> </t>
    </r>
    <r>
      <rPr>
        <sz val="9"/>
        <color theme="1"/>
        <rFont val="맑은 고딕"/>
        <family val="2"/>
      </rPr>
      <t>프로젝트</t>
    </r>
    <r>
      <rPr>
        <sz val="9"/>
        <color theme="1"/>
        <rFont val="Calibri"/>
        <family val="2"/>
      </rPr>
      <t xml:space="preserve"> Calendar</t>
    </r>
    <r>
      <rPr>
        <sz val="9"/>
        <color theme="1"/>
        <rFont val="맑은 고딕"/>
        <family val="2"/>
      </rPr>
      <t>를</t>
    </r>
    <r>
      <rPr>
        <sz val="9"/>
        <color theme="1"/>
        <rFont val="Calibri"/>
        <family val="2"/>
      </rPr>
      <t xml:space="preserve"> </t>
    </r>
    <r>
      <rPr>
        <sz val="9"/>
        <color theme="1"/>
        <rFont val="맑은 고딕"/>
        <family val="2"/>
      </rPr>
      <t>설정하세요</t>
    </r>
    <r>
      <rPr>
        <sz val="9"/>
        <color theme="1"/>
        <rFont val="Calibri"/>
        <family val="2"/>
      </rPr>
      <t>.</t>
    </r>
  </si>
  <si>
    <r>
      <rPr>
        <sz val="9"/>
        <color theme="1"/>
        <rFont val="맑은 고딕"/>
        <family val="2"/>
      </rPr>
      <t>양수이면</t>
    </r>
    <r>
      <rPr>
        <sz val="9"/>
        <color theme="1"/>
        <rFont val="Calibri"/>
        <family val="2"/>
      </rPr>
      <t xml:space="preserve"> </t>
    </r>
    <r>
      <rPr>
        <sz val="9"/>
        <color theme="1"/>
        <rFont val="맑은 고딕"/>
        <family val="2"/>
      </rPr>
      <t>계획보다</t>
    </r>
    <r>
      <rPr>
        <sz val="9"/>
        <color theme="1"/>
        <rFont val="Calibri"/>
        <family val="2"/>
      </rPr>
      <t xml:space="preserve"> </t>
    </r>
    <r>
      <rPr>
        <sz val="9"/>
        <color theme="1"/>
        <rFont val="맑은 고딕"/>
        <family val="2"/>
      </rPr>
      <t>빨리</t>
    </r>
    <r>
      <rPr>
        <sz val="9"/>
        <color theme="1"/>
        <rFont val="Calibri"/>
        <family val="2"/>
      </rPr>
      <t xml:space="preserve"> </t>
    </r>
    <r>
      <rPr>
        <sz val="9"/>
        <color theme="1"/>
        <rFont val="맑은 고딕"/>
        <family val="2"/>
      </rPr>
      <t>진행</t>
    </r>
    <r>
      <rPr>
        <sz val="9"/>
        <color theme="1"/>
        <rFont val="Calibri"/>
        <family val="2"/>
      </rPr>
      <t xml:space="preserve">, </t>
    </r>
    <r>
      <rPr>
        <sz val="9"/>
        <color theme="1"/>
        <rFont val="맑은 고딕"/>
        <family val="2"/>
      </rPr>
      <t>음수이면</t>
    </r>
    <r>
      <rPr>
        <sz val="9"/>
        <color theme="1"/>
        <rFont val="Calibri"/>
        <family val="2"/>
      </rPr>
      <t xml:space="preserve"> </t>
    </r>
    <r>
      <rPr>
        <sz val="9"/>
        <color theme="1"/>
        <rFont val="맑은 고딕"/>
        <family val="2"/>
      </rPr>
      <t>지연</t>
    </r>
  </si>
  <si>
    <r>
      <rPr>
        <sz val="9"/>
        <color theme="1"/>
        <rFont val="맑은 고딕"/>
        <family val="2"/>
      </rPr>
      <t>프로그램</t>
    </r>
    <r>
      <rPr>
        <sz val="9"/>
        <color theme="1"/>
        <rFont val="Calibri"/>
        <family val="2"/>
      </rPr>
      <t xml:space="preserve"> </t>
    </r>
    <r>
      <rPr>
        <sz val="9"/>
        <color theme="1"/>
        <rFont val="맑은 고딕"/>
        <family val="2"/>
      </rPr>
      <t>정보</t>
    </r>
  </si>
  <si>
    <r>
      <rPr>
        <sz val="9"/>
        <color theme="1"/>
        <rFont val="맑은 고딕"/>
        <family val="2"/>
      </rPr>
      <t>프로그램</t>
    </r>
    <r>
      <rPr>
        <sz val="9"/>
        <color theme="1"/>
        <rFont val="Calibri"/>
        <family val="2"/>
      </rPr>
      <t xml:space="preserve"> </t>
    </r>
    <r>
      <rPr>
        <sz val="9"/>
        <color theme="1"/>
        <rFont val="맑은 고딕"/>
        <family val="2"/>
      </rPr>
      <t>사이트</t>
    </r>
  </si>
  <si>
    <r>
      <rPr>
        <sz val="9"/>
        <color theme="1"/>
        <rFont val="맑은 고딕"/>
        <family val="2"/>
      </rPr>
      <t>담당별</t>
    </r>
    <r>
      <rPr>
        <sz val="9"/>
        <color theme="1"/>
        <rFont val="Calibri"/>
        <family val="2"/>
      </rPr>
      <t xml:space="preserve"> </t>
    </r>
    <r>
      <rPr>
        <sz val="9"/>
        <color theme="1"/>
        <rFont val="맑은 고딕"/>
        <family val="2"/>
      </rPr>
      <t>진행율</t>
    </r>
  </si>
  <si>
    <r>
      <rPr>
        <sz val="9"/>
        <color theme="1"/>
        <rFont val="맑은 고딕"/>
        <family val="2"/>
      </rPr>
      <t>프로젝트</t>
    </r>
    <r>
      <rPr>
        <sz val="9"/>
        <color theme="1"/>
        <rFont val="Calibri"/>
        <family val="2"/>
      </rPr>
      <t xml:space="preserve"> </t>
    </r>
    <r>
      <rPr>
        <sz val="9"/>
        <color theme="1"/>
        <rFont val="맑은 고딕"/>
        <family val="2"/>
      </rPr>
      <t>정보</t>
    </r>
  </si>
  <si>
    <r>
      <rPr>
        <sz val="9"/>
        <color theme="1"/>
        <rFont val="맑은 고딕"/>
        <family val="2"/>
      </rPr>
      <t>프로젝트</t>
    </r>
    <r>
      <rPr>
        <sz val="9"/>
        <color theme="1"/>
        <rFont val="Calibri"/>
        <family val="2"/>
      </rPr>
      <t xml:space="preserve"> </t>
    </r>
    <r>
      <rPr>
        <sz val="9"/>
        <color theme="1"/>
        <rFont val="맑은 고딕"/>
        <family val="2"/>
      </rPr>
      <t>진행율</t>
    </r>
    <r>
      <rPr>
        <sz val="9"/>
        <color theme="1"/>
        <rFont val="Calibri"/>
        <family val="2"/>
      </rPr>
      <t xml:space="preserve"> - </t>
    </r>
    <r>
      <rPr>
        <sz val="9"/>
        <color theme="1"/>
        <rFont val="맑은 고딕"/>
        <family val="2"/>
      </rPr>
      <t>일정변경</t>
    </r>
    <r>
      <rPr>
        <sz val="9"/>
        <color theme="1"/>
        <rFont val="Calibri"/>
        <family val="2"/>
      </rPr>
      <t xml:space="preserve"> </t>
    </r>
    <r>
      <rPr>
        <sz val="9"/>
        <color theme="1"/>
        <rFont val="맑은 고딕"/>
        <family val="2"/>
      </rPr>
      <t>관리할때</t>
    </r>
  </si>
  <si>
    <r>
      <rPr>
        <sz val="9"/>
        <color theme="1"/>
        <rFont val="맑은 고딕"/>
        <family val="2"/>
      </rPr>
      <t>프로젝트</t>
    </r>
    <r>
      <rPr>
        <sz val="9"/>
        <color theme="1"/>
        <rFont val="Calibri"/>
        <family val="2"/>
      </rPr>
      <t xml:space="preserve"> </t>
    </r>
    <r>
      <rPr>
        <sz val="9"/>
        <color theme="1"/>
        <rFont val="맑은 고딕"/>
        <family val="2"/>
      </rPr>
      <t>진행율</t>
    </r>
    <r>
      <rPr>
        <sz val="9"/>
        <color theme="1"/>
        <rFont val="Calibri"/>
        <family val="2"/>
      </rPr>
      <t xml:space="preserve"> - </t>
    </r>
    <r>
      <rPr>
        <sz val="9"/>
        <color theme="1"/>
        <rFont val="맑은 고딕"/>
        <family val="2"/>
      </rPr>
      <t>일정변경</t>
    </r>
    <r>
      <rPr>
        <sz val="9"/>
        <color theme="1"/>
        <rFont val="Calibri"/>
        <family val="2"/>
      </rPr>
      <t xml:space="preserve"> </t>
    </r>
    <r>
      <rPr>
        <sz val="9"/>
        <color theme="1"/>
        <rFont val="맑은 고딕"/>
        <family val="2"/>
      </rPr>
      <t>관리하지</t>
    </r>
    <r>
      <rPr>
        <sz val="9"/>
        <color theme="1"/>
        <rFont val="Calibri"/>
        <family val="2"/>
      </rPr>
      <t xml:space="preserve"> </t>
    </r>
    <r>
      <rPr>
        <sz val="9"/>
        <color theme="1"/>
        <rFont val="맑은 고딕"/>
        <family val="2"/>
      </rPr>
      <t>않을때</t>
    </r>
  </si>
  <si>
    <r>
      <rPr>
        <sz val="9"/>
        <color theme="1"/>
        <rFont val="맑은 고딕"/>
        <family val="2"/>
      </rPr>
      <t>컴퓨터</t>
    </r>
    <r>
      <rPr>
        <sz val="9"/>
        <color theme="1"/>
        <rFont val="Calibri"/>
        <family val="2"/>
      </rPr>
      <t xml:space="preserve"> O/S</t>
    </r>
    <r>
      <rPr>
        <sz val="9"/>
        <color theme="1"/>
        <rFont val="맑은 고딕"/>
        <family val="2"/>
      </rPr>
      <t>에</t>
    </r>
    <r>
      <rPr>
        <sz val="9"/>
        <color theme="1"/>
        <rFont val="Calibri"/>
        <family val="2"/>
      </rPr>
      <t xml:space="preserve"> </t>
    </r>
    <r>
      <rPr>
        <sz val="9"/>
        <color theme="1"/>
        <rFont val="맑은 고딕"/>
        <family val="2"/>
      </rPr>
      <t>설정된</t>
    </r>
    <r>
      <rPr>
        <sz val="9"/>
        <color theme="1"/>
        <rFont val="Calibri"/>
        <family val="2"/>
      </rPr>
      <t xml:space="preserve"> </t>
    </r>
    <r>
      <rPr>
        <sz val="9"/>
        <color theme="1"/>
        <rFont val="맑은 고딕"/>
        <family val="2"/>
      </rPr>
      <t>언어와</t>
    </r>
    <r>
      <rPr>
        <sz val="9"/>
        <color theme="1"/>
        <rFont val="Calibri"/>
        <family val="2"/>
      </rPr>
      <t xml:space="preserve"> </t>
    </r>
    <r>
      <rPr>
        <sz val="9"/>
        <color theme="1"/>
        <rFont val="맑은 고딕"/>
        <family val="2"/>
      </rPr>
      <t>관계없이</t>
    </r>
    <r>
      <rPr>
        <sz val="9"/>
        <color theme="1"/>
        <rFont val="Calibri"/>
        <family val="2"/>
      </rPr>
      <t xml:space="preserve"> </t>
    </r>
    <r>
      <rPr>
        <sz val="9"/>
        <color theme="1"/>
        <rFont val="맑은 고딕"/>
        <family val="2"/>
      </rPr>
      <t>사용자가</t>
    </r>
    <r>
      <rPr>
        <sz val="9"/>
        <color theme="1"/>
        <rFont val="Calibri"/>
        <family val="2"/>
      </rPr>
      <t xml:space="preserve"> </t>
    </r>
    <r>
      <rPr>
        <sz val="9"/>
        <color theme="1"/>
        <rFont val="맑은 고딕"/>
        <family val="2"/>
      </rPr>
      <t>표시할</t>
    </r>
    <r>
      <rPr>
        <sz val="9"/>
        <color theme="1"/>
        <rFont val="Calibri"/>
        <family val="2"/>
      </rPr>
      <t xml:space="preserve"> </t>
    </r>
    <r>
      <rPr>
        <sz val="9"/>
        <color theme="1"/>
        <rFont val="맑은 고딕"/>
        <family val="2"/>
      </rPr>
      <t>언어를</t>
    </r>
    <r>
      <rPr>
        <sz val="9"/>
        <color theme="1"/>
        <rFont val="Calibri"/>
        <family val="2"/>
      </rPr>
      <t xml:space="preserve"> </t>
    </r>
    <r>
      <rPr>
        <sz val="9"/>
        <color theme="1"/>
        <rFont val="맑은 고딕"/>
        <family val="2"/>
      </rPr>
      <t>직접</t>
    </r>
    <r>
      <rPr>
        <sz val="9"/>
        <color theme="1"/>
        <rFont val="Calibri"/>
        <family val="2"/>
      </rPr>
      <t xml:space="preserve"> </t>
    </r>
    <r>
      <rPr>
        <sz val="9"/>
        <color theme="1"/>
        <rFont val="맑은 고딕"/>
        <family val="2"/>
      </rPr>
      <t>선택할</t>
    </r>
    <r>
      <rPr>
        <sz val="9"/>
        <color theme="1"/>
        <rFont val="Calibri"/>
        <family val="2"/>
      </rPr>
      <t xml:space="preserve"> </t>
    </r>
    <r>
      <rPr>
        <sz val="9"/>
        <color theme="1"/>
        <rFont val="맑은 고딕"/>
        <family val="2"/>
      </rPr>
      <t>수</t>
    </r>
    <r>
      <rPr>
        <sz val="9"/>
        <color theme="1"/>
        <rFont val="Calibri"/>
        <family val="2"/>
      </rPr>
      <t xml:space="preserve"> _x000D_
</t>
    </r>
    <r>
      <rPr>
        <sz val="9"/>
        <color theme="1"/>
        <rFont val="맑은 고딕"/>
        <family val="2"/>
      </rPr>
      <t>있습니다</t>
    </r>
    <r>
      <rPr>
        <sz val="9"/>
        <color theme="1"/>
        <rFont val="Calibri"/>
        <family val="2"/>
      </rPr>
      <t>.</t>
    </r>
  </si>
  <si>
    <r>
      <rPr>
        <sz val="9"/>
        <color theme="1"/>
        <rFont val="맑은 고딕"/>
        <family val="2"/>
      </rPr>
      <t>릴리즈</t>
    </r>
    <r>
      <rPr>
        <sz val="9"/>
        <color theme="1"/>
        <rFont val="Calibri"/>
        <family val="2"/>
      </rPr>
      <t xml:space="preserve"> </t>
    </r>
    <r>
      <rPr>
        <sz val="9"/>
        <color theme="1"/>
        <rFont val="맑은 고딕"/>
        <family val="2"/>
      </rPr>
      <t>일자</t>
    </r>
  </si>
  <si>
    <r>
      <rPr>
        <sz val="9"/>
        <color theme="1"/>
        <rFont val="맑은 고딕"/>
        <family val="2"/>
      </rPr>
      <t>자원</t>
    </r>
    <r>
      <rPr>
        <sz val="9"/>
        <color theme="1"/>
        <rFont val="Calibri"/>
        <family val="2"/>
      </rPr>
      <t xml:space="preserve"> </t>
    </r>
    <r>
      <rPr>
        <sz val="9"/>
        <color theme="1"/>
        <rFont val="맑은 고딕"/>
        <family val="2"/>
      </rPr>
      <t>필드입니다</t>
    </r>
    <r>
      <rPr>
        <sz val="9"/>
        <color theme="1"/>
        <rFont val="Calibri"/>
        <family val="2"/>
      </rPr>
      <t xml:space="preserve">. </t>
    </r>
    <r>
      <rPr>
        <sz val="9"/>
        <color theme="1"/>
        <rFont val="맑은 고딕"/>
        <family val="2"/>
      </rPr>
      <t>담당자</t>
    </r>
    <r>
      <rPr>
        <sz val="9"/>
        <color theme="1"/>
        <rFont val="Calibri"/>
        <family val="2"/>
      </rPr>
      <t xml:space="preserve">, </t>
    </r>
    <r>
      <rPr>
        <sz val="9"/>
        <color theme="1"/>
        <rFont val="맑은 고딕"/>
        <family val="2"/>
      </rPr>
      <t>리소스</t>
    </r>
    <r>
      <rPr>
        <sz val="9"/>
        <color theme="1"/>
        <rFont val="Calibri"/>
        <family val="2"/>
      </rPr>
      <t xml:space="preserve"> </t>
    </r>
    <r>
      <rPr>
        <sz val="9"/>
        <color theme="1"/>
        <rFont val="맑은 고딕"/>
        <family val="2"/>
      </rPr>
      <t>등의</t>
    </r>
    <r>
      <rPr>
        <sz val="9"/>
        <color theme="1"/>
        <rFont val="Calibri"/>
        <family val="2"/>
      </rPr>
      <t xml:space="preserve"> </t>
    </r>
    <r>
      <rPr>
        <sz val="9"/>
        <color theme="1"/>
        <rFont val="맑은 고딕"/>
        <family val="2"/>
      </rPr>
      <t>이름으로</t>
    </r>
    <r>
      <rPr>
        <sz val="9"/>
        <color theme="1"/>
        <rFont val="Calibri"/>
        <family val="2"/>
      </rPr>
      <t xml:space="preserve"> </t>
    </r>
    <r>
      <rPr>
        <sz val="9"/>
        <color theme="1"/>
        <rFont val="맑은 고딕"/>
        <family val="2"/>
      </rPr>
      <t>불리기도</t>
    </r>
    <r>
      <rPr>
        <sz val="9"/>
        <color theme="1"/>
        <rFont val="Calibri"/>
        <family val="2"/>
      </rPr>
      <t xml:space="preserve"> </t>
    </r>
    <r>
      <rPr>
        <sz val="9"/>
        <color theme="1"/>
        <rFont val="맑은 고딕"/>
        <family val="2"/>
      </rPr>
      <t>합니다</t>
    </r>
    <r>
      <rPr>
        <sz val="9"/>
        <color theme="1"/>
        <rFont val="Calibri"/>
        <family val="2"/>
      </rPr>
      <t xml:space="preserve">. </t>
    </r>
    <r>
      <rPr>
        <sz val="9"/>
        <color theme="1"/>
        <rFont val="맑은 고딕"/>
        <family val="2"/>
      </rPr>
      <t>해당</t>
    </r>
    <r>
      <rPr>
        <sz val="9"/>
        <color theme="1"/>
        <rFont val="Calibri"/>
        <family val="2"/>
      </rPr>
      <t xml:space="preserve"> </t>
    </r>
    <r>
      <rPr>
        <sz val="9"/>
        <color theme="1"/>
        <rFont val="맑은 고딕"/>
        <family val="2"/>
      </rPr>
      <t>작업의</t>
    </r>
    <r>
      <rPr>
        <sz val="9"/>
        <color theme="1"/>
        <rFont val="Calibri"/>
        <family val="2"/>
      </rPr>
      <t xml:space="preserve"> </t>
    </r>
    <r>
      <rPr>
        <sz val="9"/>
        <color theme="1"/>
        <rFont val="맑은 고딕"/>
        <family val="2"/>
      </rPr>
      <t>담당자를</t>
    </r>
    <r>
      <rPr>
        <sz val="9"/>
        <color theme="1"/>
        <rFont val="Calibri"/>
        <family val="2"/>
      </rPr>
      <t xml:space="preserve"> </t>
    </r>
    <r>
      <rPr>
        <sz val="9"/>
        <color theme="1"/>
        <rFont val="맑은 고딕"/>
        <family val="2"/>
      </rPr>
      <t>표시합니다</t>
    </r>
  </si>
  <si>
    <r>
      <rPr>
        <sz val="9"/>
        <color theme="1"/>
        <rFont val="맑은 고딕"/>
        <family val="2"/>
      </rPr>
      <t>가져온</t>
    </r>
    <r>
      <rPr>
        <sz val="9"/>
        <color theme="1"/>
        <rFont val="Calibri"/>
        <family val="2"/>
      </rPr>
      <t xml:space="preserve"> </t>
    </r>
    <r>
      <rPr>
        <sz val="9"/>
        <color theme="1"/>
        <rFont val="맑은 고딕"/>
        <family val="2"/>
      </rPr>
      <t>자료의</t>
    </r>
    <r>
      <rPr>
        <sz val="9"/>
        <color theme="1"/>
        <rFont val="Calibri"/>
        <family val="2"/>
      </rPr>
      <t xml:space="preserve"> </t>
    </r>
    <r>
      <rPr>
        <sz val="9"/>
        <color theme="1"/>
        <rFont val="맑은 고딕"/>
        <family val="2"/>
      </rPr>
      <t>행수</t>
    </r>
    <r>
      <rPr>
        <sz val="9"/>
        <color theme="1"/>
        <rFont val="Calibri"/>
        <family val="2"/>
      </rPr>
      <t xml:space="preserve"> : </t>
    </r>
  </si>
  <si>
    <r>
      <t>File</t>
    </r>
    <r>
      <rPr>
        <sz val="9"/>
        <color theme="1"/>
        <rFont val="맑은 고딕"/>
        <family val="2"/>
      </rPr>
      <t>저장시</t>
    </r>
    <r>
      <rPr>
        <sz val="9"/>
        <color theme="1"/>
        <rFont val="Calibri"/>
        <family val="2"/>
      </rPr>
      <t xml:space="preserve"> WBS Update</t>
    </r>
    <r>
      <rPr>
        <sz val="9"/>
        <color theme="1"/>
        <rFont val="맑은 고딕"/>
        <family val="2"/>
      </rPr>
      <t>실행</t>
    </r>
  </si>
  <si>
    <r>
      <rPr>
        <sz val="9"/>
        <color theme="1"/>
        <rFont val="맑은 고딕"/>
        <family val="2"/>
      </rPr>
      <t>일정계획</t>
    </r>
    <r>
      <rPr>
        <sz val="9"/>
        <color theme="1"/>
        <rFont val="Calibri"/>
        <family val="2"/>
      </rPr>
      <t xml:space="preserve"> </t>
    </r>
    <r>
      <rPr>
        <sz val="9"/>
        <color theme="1"/>
        <rFont val="맑은 고딕"/>
        <family val="2"/>
      </rPr>
      <t>변경관리</t>
    </r>
  </si>
  <si>
    <r>
      <rPr>
        <sz val="9"/>
        <color theme="1"/>
        <rFont val="맑은 고딕"/>
        <family val="2"/>
      </rPr>
      <t>스케줄업데이트</t>
    </r>
    <r>
      <rPr>
        <sz val="9"/>
        <color theme="1"/>
        <rFont val="Calibri"/>
        <family val="2"/>
      </rPr>
      <t xml:space="preserve"> </t>
    </r>
    <r>
      <rPr>
        <sz val="9"/>
        <color theme="1"/>
        <rFont val="맑은 고딕"/>
        <family val="2"/>
      </rPr>
      <t>작업이</t>
    </r>
    <r>
      <rPr>
        <sz val="9"/>
        <color theme="1"/>
        <rFont val="Calibri"/>
        <family val="2"/>
      </rPr>
      <t xml:space="preserve"> </t>
    </r>
    <r>
      <rPr>
        <sz val="9"/>
        <color theme="1"/>
        <rFont val="맑은 고딕"/>
        <family val="2"/>
      </rPr>
      <t>완료되었습니다</t>
    </r>
    <r>
      <rPr>
        <sz val="9"/>
        <color theme="1"/>
        <rFont val="Calibri"/>
        <family val="2"/>
      </rPr>
      <t>.</t>
    </r>
  </si>
  <si>
    <r>
      <rPr>
        <sz val="9"/>
        <color theme="1"/>
        <rFont val="맑은 고딕"/>
        <family val="2"/>
      </rPr>
      <t>차이</t>
    </r>
    <r>
      <rPr>
        <sz val="9"/>
        <color theme="1"/>
        <rFont val="Calibri"/>
        <family val="2"/>
      </rPr>
      <t>(B-A)</t>
    </r>
  </si>
  <si>
    <r>
      <rPr>
        <sz val="9"/>
        <color theme="1"/>
        <rFont val="맑은 고딕"/>
        <family val="2"/>
      </rPr>
      <t>가져올</t>
    </r>
    <r>
      <rPr>
        <sz val="9"/>
        <color theme="1"/>
        <rFont val="Calibri"/>
        <family val="2"/>
      </rPr>
      <t xml:space="preserve"> </t>
    </r>
    <r>
      <rPr>
        <sz val="9"/>
        <color theme="1"/>
        <rFont val="맑은 고딕"/>
        <family val="2"/>
      </rPr>
      <t>파일을</t>
    </r>
    <r>
      <rPr>
        <sz val="9"/>
        <color theme="1"/>
        <rFont val="Calibri"/>
        <family val="2"/>
      </rPr>
      <t xml:space="preserve"> </t>
    </r>
    <r>
      <rPr>
        <sz val="9"/>
        <color theme="1"/>
        <rFont val="맑은 고딕"/>
        <family val="2"/>
      </rPr>
      <t>선택하세요</t>
    </r>
    <r>
      <rPr>
        <sz val="9"/>
        <color theme="1"/>
        <rFont val="Calibri"/>
        <family val="2"/>
      </rPr>
      <t>(</t>
    </r>
    <r>
      <rPr>
        <sz val="9"/>
        <color theme="1"/>
        <rFont val="맑은 고딕"/>
        <family val="2"/>
      </rPr>
      <t>다중선택가능</t>
    </r>
    <r>
      <rPr>
        <sz val="9"/>
        <color theme="1"/>
        <rFont val="Calibri"/>
        <family val="2"/>
      </rPr>
      <t>)</t>
    </r>
  </si>
  <si>
    <r>
      <t>Task</t>
    </r>
    <r>
      <rPr>
        <sz val="9"/>
        <color theme="1"/>
        <rFont val="맑은 고딕"/>
        <family val="2"/>
      </rPr>
      <t>의</t>
    </r>
    <r>
      <rPr>
        <sz val="9"/>
        <color theme="1"/>
        <rFont val="Calibri"/>
        <family val="2"/>
      </rPr>
      <t xml:space="preserve"> </t>
    </r>
    <r>
      <rPr>
        <sz val="9"/>
        <color theme="1"/>
        <rFont val="맑은 고딕"/>
        <family val="2"/>
      </rPr>
      <t>가장</t>
    </r>
    <r>
      <rPr>
        <sz val="9"/>
        <color theme="1"/>
        <rFont val="Calibri"/>
        <family val="2"/>
      </rPr>
      <t xml:space="preserve"> </t>
    </r>
    <r>
      <rPr>
        <sz val="9"/>
        <color theme="1"/>
        <rFont val="맑은 고딕"/>
        <family val="2"/>
      </rPr>
      <t>빠른</t>
    </r>
    <r>
      <rPr>
        <sz val="9"/>
        <color theme="1"/>
        <rFont val="Calibri"/>
        <family val="2"/>
      </rPr>
      <t xml:space="preserve"> </t>
    </r>
    <r>
      <rPr>
        <sz val="9"/>
        <color theme="1"/>
        <rFont val="맑은 고딕"/>
        <family val="2"/>
      </rPr>
      <t>시작일과</t>
    </r>
    <r>
      <rPr>
        <sz val="9"/>
        <color theme="1"/>
        <rFont val="Calibri"/>
        <family val="2"/>
      </rPr>
      <t xml:space="preserve"> </t>
    </r>
    <r>
      <rPr>
        <sz val="9"/>
        <color theme="1"/>
        <rFont val="맑은 고딕"/>
        <family val="2"/>
      </rPr>
      <t>가장</t>
    </r>
    <r>
      <rPr>
        <sz val="9"/>
        <color theme="1"/>
        <rFont val="Calibri"/>
        <family val="2"/>
      </rPr>
      <t xml:space="preserve"> </t>
    </r>
    <r>
      <rPr>
        <sz val="9"/>
        <color theme="1"/>
        <rFont val="맑은 고딕"/>
        <family val="2"/>
      </rPr>
      <t>늦은</t>
    </r>
    <r>
      <rPr>
        <sz val="9"/>
        <color theme="1"/>
        <rFont val="Calibri"/>
        <family val="2"/>
      </rPr>
      <t xml:space="preserve"> </t>
    </r>
    <r>
      <rPr>
        <sz val="9"/>
        <color theme="1"/>
        <rFont val="맑은 고딕"/>
        <family val="2"/>
      </rPr>
      <t>완료일을</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기간으로</t>
    </r>
    <r>
      <rPr>
        <sz val="9"/>
        <color theme="1"/>
        <rFont val="Calibri"/>
        <family val="2"/>
      </rPr>
      <t xml:space="preserve"> </t>
    </r>
    <r>
      <rPr>
        <sz val="9"/>
        <color theme="1"/>
        <rFont val="맑은 고딕"/>
        <family val="2"/>
      </rPr>
      <t>자동설정</t>
    </r>
  </si>
  <si>
    <r>
      <rPr>
        <sz val="9"/>
        <color theme="1"/>
        <rFont val="맑은 고딕"/>
        <family val="2"/>
      </rPr>
      <t>작업명으로</t>
    </r>
    <r>
      <rPr>
        <sz val="9"/>
        <color theme="1"/>
        <rFont val="Calibri"/>
        <family val="2"/>
      </rPr>
      <t xml:space="preserve"> </t>
    </r>
    <r>
      <rPr>
        <sz val="9"/>
        <color theme="1"/>
        <rFont val="맑은 고딕"/>
        <family val="2"/>
      </rPr>
      <t>경로</t>
    </r>
    <r>
      <rPr>
        <sz val="9"/>
        <color theme="1"/>
        <rFont val="Calibri"/>
        <family val="2"/>
      </rPr>
      <t xml:space="preserve"> </t>
    </r>
    <r>
      <rPr>
        <sz val="9"/>
        <color theme="1"/>
        <rFont val="맑은 고딕"/>
        <family val="2"/>
      </rPr>
      <t>자동지정</t>
    </r>
    <r>
      <rPr>
        <sz val="9"/>
        <color theme="1"/>
        <rFont val="Calibri"/>
        <family val="2"/>
      </rPr>
      <t>(</t>
    </r>
    <r>
      <rPr>
        <sz val="9"/>
        <color theme="1"/>
        <rFont val="맑은 고딕"/>
        <family val="2"/>
      </rPr>
      <t>이</t>
    </r>
    <r>
      <rPr>
        <sz val="9"/>
        <color theme="1"/>
        <rFont val="Calibri"/>
        <family val="2"/>
      </rPr>
      <t xml:space="preserve"> </t>
    </r>
    <r>
      <rPr>
        <sz val="9"/>
        <color theme="1"/>
        <rFont val="맑은 고딕"/>
        <family val="2"/>
      </rPr>
      <t>경우</t>
    </r>
    <r>
      <rPr>
        <sz val="9"/>
        <color theme="1"/>
        <rFont val="Calibri"/>
        <family val="2"/>
      </rPr>
      <t xml:space="preserve"> </t>
    </r>
    <r>
      <rPr>
        <sz val="9"/>
        <color theme="1"/>
        <rFont val="맑은 고딕"/>
        <family val="2"/>
      </rPr>
      <t>자동지정된</t>
    </r>
    <r>
      <rPr>
        <sz val="9"/>
        <color theme="1"/>
        <rFont val="Calibri"/>
        <family val="2"/>
      </rPr>
      <t xml:space="preserve"> </t>
    </r>
    <r>
      <rPr>
        <sz val="9"/>
        <color theme="1"/>
        <rFont val="맑은 고딕"/>
        <family val="2"/>
      </rPr>
      <t>경로의</t>
    </r>
    <r>
      <rPr>
        <sz val="9"/>
        <color theme="1"/>
        <rFont val="Calibri"/>
        <family val="2"/>
      </rPr>
      <t xml:space="preserve"> </t>
    </r>
    <r>
      <rPr>
        <sz val="9"/>
        <color theme="1"/>
        <rFont val="맑은 고딕"/>
        <family val="2"/>
      </rPr>
      <t>상위경로를</t>
    </r>
    <r>
      <rPr>
        <sz val="9"/>
        <color theme="1"/>
        <rFont val="Calibri"/>
        <family val="2"/>
      </rPr>
      <t xml:space="preserve"> </t>
    </r>
    <r>
      <rPr>
        <sz val="9"/>
        <color theme="1"/>
        <rFont val="맑은 고딕"/>
        <family val="2"/>
      </rPr>
      <t>입력</t>
    </r>
    <r>
      <rPr>
        <sz val="9"/>
        <color theme="1"/>
        <rFont val="Calibri"/>
        <family val="2"/>
      </rPr>
      <t xml:space="preserve">) </t>
    </r>
  </si>
  <si>
    <r>
      <rPr>
        <sz val="9"/>
        <color theme="1"/>
        <rFont val="맑은 고딕"/>
        <family val="2"/>
      </rPr>
      <t>산출물열기</t>
    </r>
    <r>
      <rPr>
        <sz val="9"/>
        <color theme="1"/>
        <rFont val="Calibri"/>
        <family val="2"/>
      </rPr>
      <t xml:space="preserve"> </t>
    </r>
    <r>
      <rPr>
        <sz val="9"/>
        <color theme="1"/>
        <rFont val="맑은 고딕"/>
        <family val="2"/>
      </rPr>
      <t>프로그램</t>
    </r>
    <r>
      <rPr>
        <sz val="9"/>
        <color theme="1"/>
        <rFont val="Calibri"/>
        <family val="2"/>
      </rPr>
      <t xml:space="preserve"> </t>
    </r>
    <r>
      <rPr>
        <sz val="9"/>
        <color theme="1"/>
        <rFont val="맑은 고딕"/>
        <family val="2"/>
      </rPr>
      <t>실행경로</t>
    </r>
    <r>
      <rPr>
        <sz val="9"/>
        <color theme="1"/>
        <rFont val="Calibri"/>
        <family val="2"/>
      </rPr>
      <t xml:space="preserve"> </t>
    </r>
    <r>
      <rPr>
        <sz val="9"/>
        <color theme="1"/>
        <rFont val="맑은 고딕"/>
        <family val="2"/>
      </rPr>
      <t>지정</t>
    </r>
  </si>
  <si>
    <r>
      <rPr>
        <sz val="9"/>
        <color theme="1"/>
        <rFont val="맑은 고딕"/>
        <family val="2"/>
      </rPr>
      <t>산출물</t>
    </r>
    <r>
      <rPr>
        <sz val="9"/>
        <color theme="1"/>
        <rFont val="Calibri"/>
        <family val="2"/>
      </rPr>
      <t xml:space="preserve"> </t>
    </r>
    <r>
      <rPr>
        <sz val="9"/>
        <color theme="1"/>
        <rFont val="맑은 고딕"/>
        <family val="2"/>
      </rPr>
      <t>저장경로</t>
    </r>
  </si>
  <si>
    <r>
      <rPr>
        <sz val="9"/>
        <color theme="1"/>
        <rFont val="맑은 고딕"/>
        <family val="2"/>
      </rPr>
      <t>특정</t>
    </r>
    <r>
      <rPr>
        <sz val="9"/>
        <color theme="1"/>
        <rFont val="Calibri"/>
        <family val="2"/>
      </rPr>
      <t xml:space="preserve"> </t>
    </r>
    <r>
      <rPr>
        <sz val="9"/>
        <color theme="1"/>
        <rFont val="맑은 고딕"/>
        <family val="2"/>
      </rPr>
      <t>경로</t>
    </r>
  </si>
  <si>
    <r>
      <rPr>
        <sz val="9"/>
        <color theme="1"/>
        <rFont val="맑은 고딕"/>
        <family val="2"/>
      </rPr>
      <t>별</t>
    </r>
    <r>
      <rPr>
        <sz val="9"/>
        <color theme="1"/>
        <rFont val="Calibri"/>
        <family val="2"/>
      </rPr>
      <t>(*)</t>
    </r>
    <r>
      <rPr>
        <sz val="9"/>
        <color theme="1"/>
        <rFont val="맑은 고딕"/>
        <family val="2"/>
      </rPr>
      <t>표시는</t>
    </r>
    <r>
      <rPr>
        <sz val="9"/>
        <color theme="1"/>
        <rFont val="Calibri"/>
        <family val="2"/>
      </rPr>
      <t xml:space="preserve"> </t>
    </r>
    <r>
      <rPr>
        <sz val="9"/>
        <color theme="1"/>
        <rFont val="맑은 고딕"/>
        <family val="2"/>
      </rPr>
      <t>필수입력</t>
    </r>
    <r>
      <rPr>
        <sz val="9"/>
        <color theme="1"/>
        <rFont val="Calibri"/>
        <family val="2"/>
      </rPr>
      <t xml:space="preserve">, </t>
    </r>
    <r>
      <rPr>
        <sz val="9"/>
        <color theme="1"/>
        <rFont val="맑은 고딕"/>
        <family val="2"/>
      </rPr>
      <t>주황색열은</t>
    </r>
    <r>
      <rPr>
        <sz val="9"/>
        <color theme="1"/>
        <rFont val="Calibri"/>
        <family val="2"/>
      </rPr>
      <t xml:space="preserve"> </t>
    </r>
    <r>
      <rPr>
        <sz val="9"/>
        <color theme="1"/>
        <rFont val="맑은 고딕"/>
        <family val="2"/>
      </rPr>
      <t>자동계산</t>
    </r>
  </si>
  <si>
    <r>
      <rPr>
        <sz val="9"/>
        <color theme="1"/>
        <rFont val="맑은 고딕"/>
        <family val="2"/>
      </rPr>
      <t>각</t>
    </r>
    <r>
      <rPr>
        <sz val="9"/>
        <color theme="1"/>
        <rFont val="Calibri"/>
        <family val="2"/>
      </rPr>
      <t xml:space="preserve"> </t>
    </r>
    <r>
      <rPr>
        <sz val="9"/>
        <color theme="1"/>
        <rFont val="맑은 고딕"/>
        <family val="2"/>
      </rPr>
      <t>작업의</t>
    </r>
    <r>
      <rPr>
        <sz val="9"/>
        <color theme="1"/>
        <rFont val="Calibri"/>
        <family val="2"/>
      </rPr>
      <t xml:space="preserve"> </t>
    </r>
    <r>
      <rPr>
        <sz val="9"/>
        <color theme="1"/>
        <rFont val="맑은 고딕"/>
        <family val="2"/>
      </rPr>
      <t>시작일을</t>
    </r>
    <r>
      <rPr>
        <sz val="9"/>
        <color theme="1"/>
        <rFont val="Calibri"/>
        <family val="2"/>
      </rPr>
      <t xml:space="preserve"> </t>
    </r>
    <r>
      <rPr>
        <sz val="9"/>
        <color theme="1"/>
        <rFont val="맑은 고딕"/>
        <family val="2"/>
      </rPr>
      <t>표시합니다</t>
    </r>
    <r>
      <rPr>
        <sz val="9"/>
        <color theme="1"/>
        <rFont val="Calibri"/>
        <family val="2"/>
      </rPr>
      <t xml:space="preserve">. </t>
    </r>
    <r>
      <rPr>
        <sz val="9"/>
        <color theme="1"/>
        <rFont val="맑은 고딕"/>
        <family val="2"/>
      </rPr>
      <t>반드시</t>
    </r>
    <r>
      <rPr>
        <sz val="9"/>
        <color theme="1"/>
        <rFont val="Calibri"/>
        <family val="2"/>
      </rPr>
      <t xml:space="preserve"> </t>
    </r>
    <r>
      <rPr>
        <sz val="9"/>
        <color theme="1"/>
        <rFont val="맑은 고딕"/>
        <family val="2"/>
      </rPr>
      <t>날짜</t>
    </r>
    <r>
      <rPr>
        <sz val="9"/>
        <color theme="1"/>
        <rFont val="Calibri"/>
        <family val="2"/>
      </rPr>
      <t xml:space="preserve"> </t>
    </r>
    <r>
      <rPr>
        <sz val="9"/>
        <color theme="1"/>
        <rFont val="맑은 고딕"/>
        <family val="2"/>
      </rPr>
      <t>형식이어야</t>
    </r>
    <r>
      <rPr>
        <sz val="9"/>
        <color theme="1"/>
        <rFont val="Calibri"/>
        <family val="2"/>
      </rPr>
      <t xml:space="preserve"> </t>
    </r>
    <r>
      <rPr>
        <sz val="9"/>
        <color theme="1"/>
        <rFont val="맑은 고딕"/>
        <family val="2"/>
      </rPr>
      <t>합니다</t>
    </r>
    <r>
      <rPr>
        <sz val="9"/>
        <color theme="1"/>
        <rFont val="Calibri"/>
        <family val="2"/>
      </rPr>
      <t>.</t>
    </r>
  </si>
  <si>
    <r>
      <rPr>
        <sz val="9"/>
        <color theme="1"/>
        <rFont val="맑은 고딕"/>
        <family val="2"/>
      </rPr>
      <t>작업시작일의</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잘못되었습니다</t>
    </r>
    <r>
      <rPr>
        <sz val="9"/>
        <color theme="1"/>
        <rFont val="Calibri"/>
        <family val="2"/>
      </rPr>
      <t>.</t>
    </r>
  </si>
  <si>
    <r>
      <rPr>
        <sz val="9"/>
        <color theme="1"/>
        <rFont val="맑은 고딕"/>
        <family val="2"/>
      </rPr>
      <t>시작일자에</t>
    </r>
    <r>
      <rPr>
        <sz val="9"/>
        <color theme="1"/>
        <rFont val="Calibri"/>
        <family val="2"/>
      </rPr>
      <t xml:space="preserve"> </t>
    </r>
    <r>
      <rPr>
        <sz val="9"/>
        <color theme="1"/>
        <rFont val="맑은 고딕"/>
        <family val="2"/>
      </rPr>
      <t>날짜가</t>
    </r>
    <r>
      <rPr>
        <sz val="9"/>
        <color theme="1"/>
        <rFont val="Calibri"/>
        <family val="2"/>
      </rPr>
      <t xml:space="preserve"> </t>
    </r>
    <r>
      <rPr>
        <sz val="9"/>
        <color theme="1"/>
        <rFont val="맑은 고딕"/>
        <family val="2"/>
      </rPr>
      <t>아닌</t>
    </r>
    <r>
      <rPr>
        <sz val="9"/>
        <color theme="1"/>
        <rFont val="Calibri"/>
        <family val="2"/>
      </rPr>
      <t xml:space="preserve"> </t>
    </r>
    <r>
      <rPr>
        <sz val="9"/>
        <color theme="1"/>
        <rFont val="맑은 고딕"/>
        <family val="2"/>
      </rPr>
      <t>값이</t>
    </r>
    <r>
      <rPr>
        <sz val="9"/>
        <color theme="1"/>
        <rFont val="Calibri"/>
        <family val="2"/>
      </rPr>
      <t xml:space="preserve"> </t>
    </r>
    <r>
      <rPr>
        <sz val="9"/>
        <color theme="1"/>
        <rFont val="맑은 고딕"/>
        <family val="2"/>
      </rPr>
      <t>포함되어</t>
    </r>
    <r>
      <rPr>
        <sz val="9"/>
        <color theme="1"/>
        <rFont val="Calibri"/>
        <family val="2"/>
      </rPr>
      <t xml:space="preserve"> </t>
    </r>
    <r>
      <rPr>
        <sz val="9"/>
        <color theme="1"/>
        <rFont val="맑은 고딕"/>
        <family val="2"/>
      </rPr>
      <t>있습니다</t>
    </r>
    <r>
      <rPr>
        <sz val="9"/>
        <color theme="1"/>
        <rFont val="Calibri"/>
        <family val="2"/>
      </rPr>
      <t>. Import</t>
    </r>
    <r>
      <rPr>
        <sz val="9"/>
        <color theme="1"/>
        <rFont val="맑은 고딕"/>
        <family val="2"/>
      </rPr>
      <t>하는</t>
    </r>
    <r>
      <rPr>
        <sz val="9"/>
        <color theme="1"/>
        <rFont val="Calibri"/>
        <family val="2"/>
      </rPr>
      <t xml:space="preserve"> </t>
    </r>
    <r>
      <rPr>
        <sz val="9"/>
        <color theme="1"/>
        <rFont val="맑은 고딕"/>
        <family val="2"/>
      </rPr>
      <t>파일의</t>
    </r>
    <r>
      <rPr>
        <sz val="9"/>
        <color theme="1"/>
        <rFont val="Calibri"/>
        <family val="2"/>
      </rPr>
      <t xml:space="preserve"> {}</t>
    </r>
    <r>
      <rPr>
        <sz val="9"/>
        <color theme="1"/>
        <rFont val="맑은 고딕"/>
        <family val="2"/>
      </rPr>
      <t>행을</t>
    </r>
    <r>
      <rPr>
        <sz val="9"/>
        <color theme="1"/>
        <rFont val="Calibri"/>
        <family val="2"/>
      </rPr>
      <t xml:space="preserve"> </t>
    </r>
    <r>
      <rPr>
        <sz val="9"/>
        <color theme="1"/>
        <rFont val="맑은 고딕"/>
        <family val="2"/>
      </rPr>
      <t>확인하세요</t>
    </r>
    <r>
      <rPr>
        <sz val="9"/>
        <color theme="1"/>
        <rFont val="Calibri"/>
        <family val="2"/>
      </rPr>
      <t>.</t>
    </r>
  </si>
  <si>
    <r>
      <rPr>
        <sz val="9"/>
        <color theme="1"/>
        <rFont val="맑은 고딕"/>
        <family val="2"/>
      </rPr>
      <t>시작일</t>
    </r>
    <r>
      <rPr>
        <sz val="9"/>
        <color theme="1"/>
        <rFont val="Calibri"/>
        <family val="2"/>
      </rPr>
      <t>-</t>
    </r>
    <r>
      <rPr>
        <sz val="9"/>
        <color theme="1"/>
        <rFont val="맑은 고딕"/>
        <family val="2"/>
      </rPr>
      <t>완료일</t>
    </r>
  </si>
  <si>
    <r>
      <rPr>
        <sz val="9"/>
        <color theme="1"/>
        <rFont val="맑은 고딕"/>
        <family val="2"/>
      </rPr>
      <t>작업영역이</t>
    </r>
    <r>
      <rPr>
        <sz val="9"/>
        <color theme="1"/>
        <rFont val="Calibri"/>
        <family val="2"/>
      </rPr>
      <t xml:space="preserve"> </t>
    </r>
    <r>
      <rPr>
        <sz val="9"/>
        <color theme="1"/>
        <rFont val="맑은 고딕"/>
        <family val="2"/>
      </rPr>
      <t>선택되지</t>
    </r>
    <r>
      <rPr>
        <sz val="9"/>
        <color theme="1"/>
        <rFont val="Calibri"/>
        <family val="2"/>
      </rPr>
      <t xml:space="preserve"> </t>
    </r>
    <r>
      <rPr>
        <sz val="9"/>
        <color theme="1"/>
        <rFont val="맑은 고딕"/>
        <family val="2"/>
      </rPr>
      <t>않았습니다</t>
    </r>
    <r>
      <rPr>
        <sz val="9"/>
        <color theme="1"/>
        <rFont val="Calibri"/>
        <family val="2"/>
      </rPr>
      <t xml:space="preserve">. </t>
    </r>
    <r>
      <rPr>
        <sz val="9"/>
        <color theme="1"/>
        <rFont val="맑은 고딕"/>
        <family val="2"/>
      </rPr>
      <t>영역을</t>
    </r>
    <r>
      <rPr>
        <sz val="9"/>
        <color theme="1"/>
        <rFont val="Calibri"/>
        <family val="2"/>
      </rPr>
      <t xml:space="preserve"> </t>
    </r>
    <r>
      <rPr>
        <sz val="9"/>
        <color theme="1"/>
        <rFont val="맑은 고딕"/>
        <family val="2"/>
      </rPr>
      <t>선택하세요</t>
    </r>
    <r>
      <rPr>
        <sz val="9"/>
        <color theme="1"/>
        <rFont val="Calibri"/>
        <family val="2"/>
      </rPr>
      <t>.</t>
    </r>
  </si>
  <si>
    <r>
      <rPr>
        <sz val="9"/>
        <color theme="1"/>
        <rFont val="맑은 고딕"/>
        <family val="2"/>
      </rPr>
      <t>작업명</t>
    </r>
    <r>
      <rPr>
        <sz val="9"/>
        <color theme="1"/>
        <rFont val="Calibri"/>
        <family val="2"/>
      </rPr>
      <t xml:space="preserve"> </t>
    </r>
    <r>
      <rPr>
        <sz val="9"/>
        <color theme="1"/>
        <rFont val="맑은 고딕"/>
        <family val="2"/>
      </rPr>
      <t>필드입니다</t>
    </r>
    <r>
      <rPr>
        <sz val="9"/>
        <color theme="1"/>
        <rFont val="Calibri"/>
        <family val="2"/>
      </rPr>
      <t xml:space="preserve">. </t>
    </r>
    <r>
      <rPr>
        <sz val="9"/>
        <color theme="1"/>
        <rFont val="맑은 고딕"/>
        <family val="2"/>
      </rPr>
      <t>이름</t>
    </r>
    <r>
      <rPr>
        <sz val="9"/>
        <color theme="1"/>
        <rFont val="Calibri"/>
        <family val="2"/>
      </rPr>
      <t>, Task, Activity</t>
    </r>
    <r>
      <rPr>
        <sz val="9"/>
        <color theme="1"/>
        <rFont val="맑은 고딕"/>
        <family val="2"/>
      </rPr>
      <t>등</t>
    </r>
    <r>
      <rPr>
        <sz val="9"/>
        <color theme="1"/>
        <rFont val="Calibri"/>
        <family val="2"/>
      </rPr>
      <t xml:space="preserve"> </t>
    </r>
    <r>
      <rPr>
        <sz val="9"/>
        <color theme="1"/>
        <rFont val="맑은 고딕"/>
        <family val="2"/>
      </rPr>
      <t>다른</t>
    </r>
    <r>
      <rPr>
        <sz val="9"/>
        <color theme="1"/>
        <rFont val="Calibri"/>
        <family val="2"/>
      </rPr>
      <t xml:space="preserve"> </t>
    </r>
    <r>
      <rPr>
        <sz val="9"/>
        <color theme="1"/>
        <rFont val="맑은 고딕"/>
        <family val="2"/>
      </rPr>
      <t>이름으로</t>
    </r>
    <r>
      <rPr>
        <sz val="9"/>
        <color theme="1"/>
        <rFont val="Calibri"/>
        <family val="2"/>
      </rPr>
      <t xml:space="preserve"> </t>
    </r>
    <r>
      <rPr>
        <sz val="9"/>
        <color theme="1"/>
        <rFont val="맑은 고딕"/>
        <family val="2"/>
      </rPr>
      <t>불리기도</t>
    </r>
    <r>
      <rPr>
        <sz val="9"/>
        <color theme="1"/>
        <rFont val="Calibri"/>
        <family val="2"/>
      </rPr>
      <t xml:space="preserve"> </t>
    </r>
    <r>
      <rPr>
        <sz val="9"/>
        <color theme="1"/>
        <rFont val="맑은 고딕"/>
        <family val="2"/>
      </rPr>
      <t>합니다</t>
    </r>
    <r>
      <rPr>
        <sz val="9"/>
        <color theme="1"/>
        <rFont val="Calibri"/>
        <family val="2"/>
      </rPr>
      <t xml:space="preserve">. </t>
    </r>
    <r>
      <rPr>
        <sz val="9"/>
        <color theme="1"/>
        <rFont val="맑은 고딕"/>
        <family val="2"/>
      </rPr>
      <t>작업의</t>
    </r>
    <r>
      <rPr>
        <sz val="9"/>
        <color theme="1"/>
        <rFont val="Calibri"/>
        <family val="2"/>
      </rPr>
      <t xml:space="preserve"> Level</t>
    </r>
    <r>
      <rPr>
        <sz val="9"/>
        <color theme="1"/>
        <rFont val="맑은 고딕"/>
        <family val="2"/>
      </rPr>
      <t>에</t>
    </r>
    <r>
      <rPr>
        <sz val="9"/>
        <color theme="1"/>
        <rFont val="Calibri"/>
        <family val="2"/>
      </rPr>
      <t xml:space="preserve"> </t>
    </r>
    <r>
      <rPr>
        <sz val="9"/>
        <color theme="1"/>
        <rFont val="맑은 고딕"/>
        <family val="2"/>
      </rPr>
      <t>따라</t>
    </r>
    <r>
      <rPr>
        <sz val="9"/>
        <color theme="1"/>
        <rFont val="Calibri"/>
        <family val="2"/>
      </rPr>
      <t xml:space="preserve"> </t>
    </r>
    <r>
      <rPr>
        <sz val="9"/>
        <color theme="1"/>
        <rFont val="맑은 고딕"/>
        <family val="2"/>
      </rPr>
      <t>표시하는</t>
    </r>
    <r>
      <rPr>
        <sz val="9"/>
        <color theme="1"/>
        <rFont val="Calibri"/>
        <family val="2"/>
      </rPr>
      <t xml:space="preserve"> </t>
    </r>
    <r>
      <rPr>
        <sz val="9"/>
        <color theme="1"/>
        <rFont val="맑은 고딕"/>
        <family val="2"/>
      </rPr>
      <t>방식이</t>
    </r>
    <r>
      <rPr>
        <sz val="9"/>
        <color theme="1"/>
        <rFont val="Calibri"/>
        <family val="2"/>
      </rPr>
      <t xml:space="preserve"> </t>
    </r>
    <r>
      <rPr>
        <sz val="9"/>
        <color theme="1"/>
        <rFont val="맑은 고딕"/>
        <family val="2"/>
      </rPr>
      <t>다를</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 Level</t>
    </r>
    <r>
      <rPr>
        <sz val="9"/>
        <color theme="1"/>
        <rFont val="맑은 고딕"/>
        <family val="2"/>
      </rPr>
      <t>별로</t>
    </r>
    <r>
      <rPr>
        <sz val="9"/>
        <color theme="1"/>
        <rFont val="Calibri"/>
        <family val="2"/>
      </rPr>
      <t xml:space="preserve"> </t>
    </r>
    <r>
      <rPr>
        <sz val="9"/>
        <color theme="1"/>
        <rFont val="맑은 고딕"/>
        <family val="2"/>
      </rPr>
      <t>다른</t>
    </r>
    <r>
      <rPr>
        <sz val="9"/>
        <color theme="1"/>
        <rFont val="Calibri"/>
        <family val="2"/>
      </rPr>
      <t xml:space="preserve"> </t>
    </r>
    <r>
      <rPr>
        <sz val="9"/>
        <color theme="1"/>
        <rFont val="맑은 고딕"/>
        <family val="2"/>
      </rPr>
      <t>필드에</t>
    </r>
    <r>
      <rPr>
        <sz val="9"/>
        <color theme="1"/>
        <rFont val="Calibri"/>
        <family val="2"/>
      </rPr>
      <t xml:space="preserve"> </t>
    </r>
    <r>
      <rPr>
        <sz val="9"/>
        <color theme="1"/>
        <rFont val="맑은 고딕"/>
        <family val="2"/>
      </rPr>
      <t>작업명이</t>
    </r>
    <r>
      <rPr>
        <sz val="9"/>
        <color theme="1"/>
        <rFont val="Calibri"/>
        <family val="2"/>
      </rPr>
      <t xml:space="preserve"> </t>
    </r>
    <r>
      <rPr>
        <sz val="9"/>
        <color theme="1"/>
        <rFont val="맑은 고딕"/>
        <family val="2"/>
      </rPr>
      <t>표시되는</t>
    </r>
    <r>
      <rPr>
        <sz val="9"/>
        <color theme="1"/>
        <rFont val="Calibri"/>
        <family val="2"/>
      </rPr>
      <t xml:space="preserve"> </t>
    </r>
    <r>
      <rPr>
        <sz val="9"/>
        <color theme="1"/>
        <rFont val="맑은 고딕"/>
        <family val="2"/>
      </rPr>
      <t>경우에는</t>
    </r>
    <r>
      <rPr>
        <sz val="9"/>
        <color theme="1"/>
        <rFont val="Calibri"/>
        <family val="2"/>
      </rPr>
      <t xml:space="preserve"> 1 Level </t>
    </r>
    <r>
      <rPr>
        <sz val="9"/>
        <color theme="1"/>
        <rFont val="맑은 고딕"/>
        <family val="2"/>
      </rPr>
      <t>필드만</t>
    </r>
    <r>
      <rPr>
        <sz val="9"/>
        <color theme="1"/>
        <rFont val="Calibri"/>
        <family val="2"/>
      </rPr>
      <t xml:space="preserve"> Traget</t>
    </r>
    <r>
      <rPr>
        <sz val="9"/>
        <color theme="1"/>
        <rFont val="맑은 고딕"/>
        <family val="2"/>
      </rPr>
      <t>파일의</t>
    </r>
    <r>
      <rPr>
        <sz val="9"/>
        <color theme="1"/>
        <rFont val="Calibri"/>
        <family val="2"/>
      </rPr>
      <t xml:space="preserve"> "</t>
    </r>
    <r>
      <rPr>
        <sz val="9"/>
        <color theme="1"/>
        <rFont val="맑은 고딕"/>
        <family val="2"/>
      </rPr>
      <t>작업명</t>
    </r>
    <r>
      <rPr>
        <sz val="9"/>
        <color theme="1"/>
        <rFont val="Calibri"/>
        <family val="2"/>
      </rPr>
      <t>"</t>
    </r>
    <r>
      <rPr>
        <sz val="9"/>
        <color theme="1"/>
        <rFont val="맑은 고딕"/>
        <family val="2"/>
      </rPr>
      <t>필드와</t>
    </r>
    <r>
      <rPr>
        <sz val="9"/>
        <color theme="1"/>
        <rFont val="Calibri"/>
        <family val="2"/>
      </rPr>
      <t xml:space="preserve"> Mapping</t>
    </r>
    <r>
      <rPr>
        <sz val="9"/>
        <color theme="1"/>
        <rFont val="맑은 고딕"/>
        <family val="2"/>
      </rPr>
      <t>하면</t>
    </r>
    <r>
      <rPr>
        <sz val="9"/>
        <color theme="1"/>
        <rFont val="Calibri"/>
        <family val="2"/>
      </rPr>
      <t xml:space="preserve"> </t>
    </r>
    <r>
      <rPr>
        <sz val="9"/>
        <color theme="1"/>
        <rFont val="맑은 고딕"/>
        <family val="2"/>
      </rPr>
      <t>됩니다</t>
    </r>
    <r>
      <rPr>
        <sz val="9"/>
        <color theme="1"/>
        <rFont val="Calibri"/>
        <family val="2"/>
      </rPr>
      <t>.</t>
    </r>
  </si>
  <si>
    <r>
      <t>Task(</t>
    </r>
    <r>
      <rPr>
        <sz val="9"/>
        <color theme="1"/>
        <rFont val="맑은 고딕"/>
        <family val="2"/>
      </rPr>
      <t>작업명</t>
    </r>
    <r>
      <rPr>
        <sz val="9"/>
        <color theme="1"/>
        <rFont val="Calibri"/>
        <family val="2"/>
      </rPr>
      <t xml:space="preserve">, </t>
    </r>
    <r>
      <rPr>
        <sz val="9"/>
        <color theme="1"/>
        <rFont val="맑은 고딕"/>
        <family val="2"/>
      </rPr>
      <t>이름</t>
    </r>
    <r>
      <rPr>
        <sz val="9"/>
        <color theme="1"/>
        <rFont val="Calibri"/>
        <family val="2"/>
      </rPr>
      <t xml:space="preserve"> </t>
    </r>
    <r>
      <rPr>
        <sz val="9"/>
        <color theme="1"/>
        <rFont val="맑은 고딕"/>
        <family val="2"/>
      </rPr>
      <t>등</t>
    </r>
    <r>
      <rPr>
        <sz val="9"/>
        <color theme="1"/>
        <rFont val="Calibri"/>
        <family val="2"/>
      </rPr>
      <t>)</t>
    </r>
    <r>
      <rPr>
        <sz val="9"/>
        <color theme="1"/>
        <rFont val="맑은 고딕"/>
        <family val="2"/>
      </rPr>
      <t>는</t>
    </r>
    <r>
      <rPr>
        <sz val="9"/>
        <color theme="1"/>
        <rFont val="Calibri"/>
        <family val="2"/>
      </rPr>
      <t xml:space="preserve"> </t>
    </r>
    <r>
      <rPr>
        <sz val="9"/>
        <color theme="1"/>
        <rFont val="맑은 고딕"/>
        <family val="2"/>
      </rPr>
      <t>반드시</t>
    </r>
    <r>
      <rPr>
        <sz val="9"/>
        <color theme="1"/>
        <rFont val="Calibri"/>
        <family val="2"/>
      </rPr>
      <t xml:space="preserve"> </t>
    </r>
    <r>
      <rPr>
        <sz val="9"/>
        <color theme="1"/>
        <rFont val="맑은 고딕"/>
        <family val="2"/>
      </rPr>
      <t>입력되어야</t>
    </r>
    <r>
      <rPr>
        <sz val="9"/>
        <color theme="1"/>
        <rFont val="Calibri"/>
        <family val="2"/>
      </rPr>
      <t xml:space="preserve"> </t>
    </r>
    <r>
      <rPr>
        <sz val="9"/>
        <color theme="1"/>
        <rFont val="맑은 고딕"/>
        <family val="2"/>
      </rPr>
      <t>합니다</t>
    </r>
    <r>
      <rPr>
        <sz val="9"/>
        <color theme="1"/>
        <rFont val="Calibri"/>
        <family val="2"/>
      </rPr>
      <t>.</t>
    </r>
  </si>
  <si>
    <r>
      <rPr>
        <sz val="9"/>
        <color theme="1"/>
        <rFont val="맑은 고딕"/>
        <family val="2"/>
      </rPr>
      <t>실적진척율</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</si>
  <si>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실적진척율이</t>
    </r>
    <r>
      <rPr>
        <sz val="9"/>
        <color theme="1"/>
        <rFont val="Calibri"/>
        <family val="2"/>
      </rPr>
      <t xml:space="preserve"> </t>
    </r>
    <r>
      <rPr>
        <sz val="9"/>
        <color theme="1"/>
        <rFont val="맑은 고딕"/>
        <family val="2"/>
      </rPr>
      <t>숫자가</t>
    </r>
    <r>
      <rPr>
        <sz val="9"/>
        <color theme="1"/>
        <rFont val="Calibri"/>
        <family val="2"/>
      </rPr>
      <t xml:space="preserve"> </t>
    </r>
    <r>
      <rPr>
        <sz val="9"/>
        <color theme="1"/>
        <rFont val="맑은 고딕"/>
        <family val="2"/>
      </rPr>
      <t>아닙니다</t>
    </r>
    <r>
      <rPr>
        <sz val="9"/>
        <color theme="1"/>
        <rFont val="Calibri"/>
        <family val="2"/>
      </rPr>
      <t>.</t>
    </r>
  </si>
  <si>
    <r>
      <rPr>
        <sz val="9"/>
        <color theme="1"/>
        <rFont val="맑은 고딕"/>
        <family val="2"/>
      </rPr>
      <t>실제완료일</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</si>
  <si>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실제시작일</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</si>
  <si>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실제총기간</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</si>
  <si>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실제총작업량</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</si>
  <si>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t xml:space="preserve">Calendar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</si>
  <si>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산출물</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</si>
  <si>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완료일</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</si>
  <si>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비고</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</si>
  <si>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계획진척율</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</si>
  <si>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계획기간</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</si>
  <si>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계획작업량</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</si>
  <si>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담당</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</si>
  <si>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시작일</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</si>
  <si>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작업</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</si>
  <si>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총기간</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</si>
  <si>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총작업량</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</si>
  <si>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t xml:space="preserve">WBS Level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</si>
  <si>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t xml:space="preserve">WBS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</si>
  <si>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가중치</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</si>
  <si>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t>{} sheet</t>
    </r>
    <r>
      <rPr>
        <sz val="9"/>
        <color theme="1"/>
        <rFont val="맑은 고딕"/>
        <family val="2"/>
      </rPr>
      <t>가</t>
    </r>
    <r>
      <rPr>
        <sz val="9"/>
        <color theme="1"/>
        <rFont val="Calibri"/>
        <family val="2"/>
      </rPr>
      <t xml:space="preserve"> </t>
    </r>
    <r>
      <rPr>
        <sz val="9"/>
        <color theme="1"/>
        <rFont val="맑은 고딕"/>
        <family val="2"/>
      </rPr>
      <t>존재하지</t>
    </r>
    <r>
      <rPr>
        <sz val="9"/>
        <color theme="1"/>
        <rFont val="Calibri"/>
        <family val="2"/>
      </rPr>
      <t xml:space="preserve"> </t>
    </r>
    <r>
      <rPr>
        <sz val="9"/>
        <color theme="1"/>
        <rFont val="맑은 고딕"/>
        <family val="2"/>
      </rPr>
      <t>않습니다</t>
    </r>
    <r>
      <rPr>
        <sz val="9"/>
        <color theme="1"/>
        <rFont val="Calibri"/>
        <family val="2"/>
      </rPr>
      <t xml:space="preserve">. </t>
    </r>
    <r>
      <rPr>
        <sz val="9"/>
        <color theme="1"/>
        <rFont val="맑은 고딕"/>
        <family val="2"/>
      </rPr>
      <t>이름을</t>
    </r>
    <r>
      <rPr>
        <sz val="9"/>
        <color theme="1"/>
        <rFont val="Calibri"/>
        <family val="2"/>
      </rPr>
      <t xml:space="preserve"> </t>
    </r>
    <r>
      <rPr>
        <sz val="9"/>
        <color theme="1"/>
        <rFont val="맑은 고딕"/>
        <family val="2"/>
      </rPr>
      <t>변경하거나</t>
    </r>
    <r>
      <rPr>
        <sz val="9"/>
        <color theme="1"/>
        <rFont val="Calibri"/>
        <family val="2"/>
      </rPr>
      <t xml:space="preserve"> </t>
    </r>
    <r>
      <rPr>
        <sz val="9"/>
        <color theme="1"/>
        <rFont val="맑은 고딕"/>
        <family val="2"/>
      </rPr>
      <t>삭제했는지</t>
    </r>
    <r>
      <rPr>
        <sz val="9"/>
        <color theme="1"/>
        <rFont val="Calibri"/>
        <family val="2"/>
      </rPr>
      <t xml:space="preserve"> </t>
    </r>
    <r>
      <rPr>
        <sz val="9"/>
        <color theme="1"/>
        <rFont val="맑은 고딕"/>
        <family val="2"/>
      </rPr>
      <t>확인하세요</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</si>
  <si>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실제완료일이</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아닙니다</t>
    </r>
    <r>
      <rPr>
        <sz val="9"/>
        <color theme="1"/>
        <rFont val="Calibri"/>
        <family val="2"/>
      </rPr>
      <t xml:space="preserve">. </t>
    </r>
    <r>
      <rPr>
        <sz val="9"/>
        <color theme="1"/>
        <rFont val="맑은 고딕"/>
        <family val="2"/>
      </rPr>
      <t>정확한</t>
    </r>
    <r>
      <rPr>
        <sz val="9"/>
        <color theme="1"/>
        <rFont val="Calibri"/>
        <family val="2"/>
      </rPr>
      <t xml:space="preserve"> </t>
    </r>
    <r>
      <rPr>
        <sz val="9"/>
        <color theme="1"/>
        <rFont val="맑은 고딕"/>
        <family val="2"/>
      </rPr>
      <t>날짜형식으로</t>
    </r>
    <r>
      <rPr>
        <sz val="9"/>
        <color theme="1"/>
        <rFont val="Calibri"/>
        <family val="2"/>
      </rPr>
      <t xml:space="preserve"> </t>
    </r>
    <r>
      <rPr>
        <sz val="9"/>
        <color theme="1"/>
        <rFont val="맑은 고딕"/>
        <family val="2"/>
      </rPr>
      <t>입력하세요</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</si>
  <si>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실제시작일이</t>
    </r>
    <r>
      <rPr>
        <sz val="9"/>
        <color theme="1"/>
        <rFont val="Calibri"/>
        <family val="2"/>
      </rPr>
      <t xml:space="preserve"> </t>
    </r>
    <r>
      <rPr>
        <sz val="9"/>
        <color theme="1"/>
        <rFont val="맑은 고딕"/>
        <family val="2"/>
      </rPr>
      <t>비어있고</t>
    </r>
    <r>
      <rPr>
        <sz val="9"/>
        <color theme="1"/>
        <rFont val="Calibri"/>
        <family val="2"/>
      </rPr>
      <t xml:space="preserve"> </t>
    </r>
    <r>
      <rPr>
        <sz val="9"/>
        <color theme="1"/>
        <rFont val="맑은 고딕"/>
        <family val="2"/>
      </rPr>
      <t>실제완료일만</t>
    </r>
    <r>
      <rPr>
        <sz val="9"/>
        <color theme="1"/>
        <rFont val="Calibri"/>
        <family val="2"/>
      </rPr>
      <t xml:space="preserve"> </t>
    </r>
    <r>
      <rPr>
        <sz val="9"/>
        <color theme="1"/>
        <rFont val="맑은 고딕"/>
        <family val="2"/>
      </rPr>
      <t>입력되어</t>
    </r>
    <r>
      <rPr>
        <sz val="9"/>
        <color theme="1"/>
        <rFont val="Calibri"/>
        <family val="2"/>
      </rPr>
      <t xml:space="preserve"> </t>
    </r>
    <r>
      <rPr>
        <sz val="9"/>
        <color theme="1"/>
        <rFont val="맑은 고딕"/>
        <family val="2"/>
      </rPr>
      <t>있습니다</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</si>
  <si>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실제시작일이</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아닙니다</t>
    </r>
    <r>
      <rPr>
        <sz val="9"/>
        <color theme="1"/>
        <rFont val="Calibri"/>
        <family val="2"/>
      </rPr>
      <t xml:space="preserve">. </t>
    </r>
    <r>
      <rPr>
        <sz val="9"/>
        <color theme="1"/>
        <rFont val="맑은 고딕"/>
        <family val="2"/>
      </rPr>
      <t>정확한</t>
    </r>
    <r>
      <rPr>
        <sz val="9"/>
        <color theme="1"/>
        <rFont val="Calibri"/>
        <family val="2"/>
      </rPr>
      <t xml:space="preserve"> </t>
    </r>
    <r>
      <rPr>
        <sz val="9"/>
        <color theme="1"/>
        <rFont val="맑은 고딕"/>
        <family val="2"/>
      </rPr>
      <t>날짜형식으로</t>
    </r>
    <r>
      <rPr>
        <sz val="9"/>
        <color theme="1"/>
        <rFont val="Calibri"/>
        <family val="2"/>
      </rPr>
      <t xml:space="preserve"> </t>
    </r>
    <r>
      <rPr>
        <sz val="9"/>
        <color theme="1"/>
        <rFont val="맑은 고딕"/>
        <family val="2"/>
      </rPr>
      <t>입력하세요</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</si>
  <si>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실제시작일이</t>
    </r>
    <r>
      <rPr>
        <sz val="9"/>
        <color theme="1"/>
        <rFont val="Calibri"/>
        <family val="2"/>
      </rPr>
      <t xml:space="preserve"> </t>
    </r>
    <r>
      <rPr>
        <sz val="9"/>
        <color theme="1"/>
        <rFont val="맑은 고딕"/>
        <family val="2"/>
      </rPr>
      <t>실제완료일보다</t>
    </r>
    <r>
      <rPr>
        <sz val="9"/>
        <color theme="1"/>
        <rFont val="Calibri"/>
        <family val="2"/>
      </rPr>
      <t xml:space="preserve"> </t>
    </r>
    <r>
      <rPr>
        <sz val="9"/>
        <color theme="1"/>
        <rFont val="맑은 고딕"/>
        <family val="2"/>
      </rPr>
      <t>큽니다</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</si>
  <si>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실제</t>
    </r>
    <r>
      <rPr>
        <sz val="9"/>
        <color theme="1"/>
        <rFont val="Calibri"/>
        <family val="2"/>
      </rPr>
      <t xml:space="preserve"> </t>
    </r>
    <r>
      <rPr>
        <sz val="9"/>
        <color theme="1"/>
        <rFont val="맑은 고딕"/>
        <family val="2"/>
      </rPr>
      <t>시작일이</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기간을</t>
    </r>
    <r>
      <rPr>
        <sz val="9"/>
        <color theme="1"/>
        <rFont val="Calibri"/>
        <family val="2"/>
      </rPr>
      <t xml:space="preserve"> </t>
    </r>
    <r>
      <rPr>
        <sz val="9"/>
        <color theme="1"/>
        <rFont val="맑은 고딕"/>
        <family val="2"/>
      </rPr>
      <t>벗어났습니다</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</si>
  <si>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실젝</t>
    </r>
    <r>
      <rPr>
        <sz val="9"/>
        <color theme="1"/>
        <rFont val="Calibri"/>
        <family val="2"/>
      </rPr>
      <t xml:space="preserve"> </t>
    </r>
    <r>
      <rPr>
        <sz val="9"/>
        <color theme="1"/>
        <rFont val="맑은 고딕"/>
        <family val="2"/>
      </rPr>
      <t>시작일</t>
    </r>
    <r>
      <rPr>
        <sz val="9"/>
        <color theme="1"/>
        <rFont val="Calibri"/>
        <family val="2"/>
      </rPr>
      <t xml:space="preserve"> </t>
    </r>
    <r>
      <rPr>
        <sz val="9"/>
        <color theme="1"/>
        <rFont val="맑은 고딕"/>
        <family val="2"/>
      </rPr>
      <t>또는</t>
    </r>
    <r>
      <rPr>
        <sz val="9"/>
        <color theme="1"/>
        <rFont val="Calibri"/>
        <family val="2"/>
      </rPr>
      <t xml:space="preserve"> </t>
    </r>
    <r>
      <rPr>
        <sz val="9"/>
        <color theme="1"/>
        <rFont val="맑은 고딕"/>
        <family val="2"/>
      </rPr>
      <t>완료일이</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기간을</t>
    </r>
    <r>
      <rPr>
        <sz val="9"/>
        <color theme="1"/>
        <rFont val="Calibri"/>
        <family val="2"/>
      </rPr>
      <t xml:space="preserve"> </t>
    </r>
    <r>
      <rPr>
        <sz val="9"/>
        <color theme="1"/>
        <rFont val="맑은 고딕"/>
        <family val="2"/>
      </rPr>
      <t>벗어났습니다</t>
    </r>
    <r>
      <rPr>
        <sz val="9"/>
        <color theme="1"/>
        <rFont val="Calibri"/>
        <family val="2"/>
      </rPr>
      <t>.</t>
    </r>
  </si>
  <si>
    <r>
      <t>Level</t>
    </r>
    <r>
      <rPr>
        <sz val="9"/>
        <color theme="1"/>
        <rFont val="맑은 고딕"/>
        <family val="2"/>
      </rPr>
      <t>의</t>
    </r>
    <r>
      <rPr>
        <sz val="9"/>
        <color theme="1"/>
        <rFont val="Calibri"/>
        <family val="2"/>
      </rPr>
      <t xml:space="preserve"> </t>
    </r>
    <r>
      <rPr>
        <sz val="9"/>
        <color theme="1"/>
        <rFont val="맑은 고딕"/>
        <family val="2"/>
      </rPr>
      <t>갯수</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</si>
  <si>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날짜는</t>
    </r>
    <r>
      <rPr>
        <sz val="9"/>
        <color theme="1"/>
        <rFont val="Calibri"/>
        <family val="2"/>
      </rPr>
      <t xml:space="preserve"> </t>
    </r>
    <r>
      <rPr>
        <sz val="9"/>
        <color theme="1"/>
        <rFont val="맑은 고딕"/>
        <family val="2"/>
      </rPr>
      <t>입력되었는데</t>
    </r>
    <r>
      <rPr>
        <sz val="9"/>
        <color theme="1"/>
        <rFont val="Calibri"/>
        <family val="2"/>
      </rPr>
      <t xml:space="preserve"> </t>
    </r>
    <r>
      <rPr>
        <sz val="9"/>
        <color theme="1"/>
        <rFont val="맑은 고딕"/>
        <family val="2"/>
      </rPr>
      <t>작업필드가</t>
    </r>
    <r>
      <rPr>
        <sz val="9"/>
        <color theme="1"/>
        <rFont val="Calibri"/>
        <family val="2"/>
      </rPr>
      <t xml:space="preserve"> </t>
    </r>
    <r>
      <rPr>
        <sz val="9"/>
        <color theme="1"/>
        <rFont val="맑은 고딕"/>
        <family val="2"/>
      </rPr>
      <t>비어있습니다</t>
    </r>
    <r>
      <rPr>
        <sz val="9"/>
        <color theme="1"/>
        <rFont val="Calibri"/>
        <family val="2"/>
      </rPr>
      <t>.\n</t>
    </r>
    <r>
      <rPr>
        <sz val="9"/>
        <color theme="1"/>
        <rFont val="맑은 고딕"/>
        <family val="2"/>
      </rPr>
      <t>작업필드의</t>
    </r>
    <r>
      <rPr>
        <sz val="9"/>
        <color theme="1"/>
        <rFont val="Calibri"/>
        <family val="2"/>
      </rPr>
      <t xml:space="preserve"> </t>
    </r>
    <r>
      <rPr>
        <sz val="9"/>
        <color theme="1"/>
        <rFont val="맑은 고딕"/>
        <family val="2"/>
      </rPr>
      <t>값을</t>
    </r>
    <r>
      <rPr>
        <sz val="9"/>
        <color theme="1"/>
        <rFont val="Calibri"/>
        <family val="2"/>
      </rPr>
      <t xml:space="preserve"> </t>
    </r>
    <r>
      <rPr>
        <sz val="9"/>
        <color theme="1"/>
        <rFont val="맑은 고딕"/>
        <family val="2"/>
      </rPr>
      <t>채우거나</t>
    </r>
    <r>
      <rPr>
        <sz val="9"/>
        <color theme="1"/>
        <rFont val="Calibri"/>
        <family val="2"/>
      </rPr>
      <t xml:space="preserve"> </t>
    </r>
    <r>
      <rPr>
        <sz val="9"/>
        <color theme="1"/>
        <rFont val="맑은 고딕"/>
        <family val="2"/>
      </rPr>
      <t>날짜를</t>
    </r>
    <r>
      <rPr>
        <sz val="9"/>
        <color theme="1"/>
        <rFont val="Calibri"/>
        <family val="2"/>
      </rPr>
      <t xml:space="preserve"> </t>
    </r>
    <r>
      <rPr>
        <sz val="9"/>
        <color theme="1"/>
        <rFont val="맑은 고딕"/>
        <family val="2"/>
      </rPr>
      <t>지우세요</t>
    </r>
    <r>
      <rPr>
        <sz val="9"/>
        <color theme="1"/>
        <rFont val="Calibri"/>
        <family val="2"/>
      </rPr>
      <t>.</t>
    </r>
  </si>
  <si>
    <r>
      <rPr>
        <sz val="9"/>
        <color theme="1"/>
        <rFont val="맑은 고딕"/>
        <family val="2"/>
      </rPr>
      <t>산출물명이</t>
    </r>
    <r>
      <rPr>
        <sz val="9"/>
        <color theme="1"/>
        <rFont val="Calibri"/>
        <family val="2"/>
      </rPr>
      <t xml:space="preserve"> </t>
    </r>
    <r>
      <rPr>
        <sz val="9"/>
        <color theme="1"/>
        <rFont val="맑은 고딕"/>
        <family val="2"/>
      </rPr>
      <t>비어있습니다</t>
    </r>
    <r>
      <rPr>
        <sz val="9"/>
        <color theme="1"/>
        <rFont val="Calibri"/>
        <family val="2"/>
      </rPr>
      <t>.</t>
    </r>
  </si>
  <si>
    <r>
      <rPr>
        <sz val="9"/>
        <color theme="1"/>
        <rFont val="맑은 고딕"/>
        <family val="2"/>
      </rPr>
      <t>가장</t>
    </r>
    <r>
      <rPr>
        <sz val="9"/>
        <color theme="1"/>
        <rFont val="Calibri"/>
        <family val="2"/>
      </rPr>
      <t xml:space="preserve"> </t>
    </r>
    <r>
      <rPr>
        <sz val="9"/>
        <color theme="1"/>
        <rFont val="맑은 고딕"/>
        <family val="2"/>
      </rPr>
      <t>빠른</t>
    </r>
    <r>
      <rPr>
        <sz val="9"/>
        <color theme="1"/>
        <rFont val="Calibri"/>
        <family val="2"/>
      </rPr>
      <t xml:space="preserve"> </t>
    </r>
    <r>
      <rPr>
        <sz val="9"/>
        <color theme="1"/>
        <rFont val="맑은 고딕"/>
        <family val="2"/>
      </rPr>
      <t>시작일</t>
    </r>
    <r>
      <rPr>
        <sz val="9"/>
        <color theme="1"/>
        <rFont val="Calibri"/>
        <family val="2"/>
      </rPr>
      <t>({1})</t>
    </r>
    <r>
      <rPr>
        <sz val="9"/>
        <color theme="1"/>
        <rFont val="맑은 고딕"/>
        <family val="2"/>
      </rPr>
      <t>이</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기간정보의</t>
    </r>
    <r>
      <rPr>
        <sz val="9"/>
        <color theme="1"/>
        <rFont val="Calibri"/>
        <family val="2"/>
      </rPr>
      <t xml:space="preserve"> </t>
    </r>
    <r>
      <rPr>
        <sz val="9"/>
        <color theme="1"/>
        <rFont val="맑은 고딕"/>
        <family val="2"/>
      </rPr>
      <t>시작일</t>
    </r>
    <r>
      <rPr>
        <sz val="9"/>
        <color theme="1"/>
        <rFont val="Calibri"/>
        <family val="2"/>
      </rPr>
      <t>({2})</t>
    </r>
    <r>
      <rPr>
        <sz val="9"/>
        <color theme="1"/>
        <rFont val="맑은 고딕"/>
        <family val="2"/>
      </rPr>
      <t>보다</t>
    </r>
    <r>
      <rPr>
        <sz val="9"/>
        <color theme="1"/>
        <rFont val="Calibri"/>
        <family val="2"/>
      </rPr>
      <t xml:space="preserve"> </t>
    </r>
    <r>
      <rPr>
        <sz val="9"/>
        <color theme="1"/>
        <rFont val="맑은 고딕"/>
        <family val="2"/>
      </rPr>
      <t>더</t>
    </r>
    <r>
      <rPr>
        <sz val="9"/>
        <color theme="1"/>
        <rFont val="Calibri"/>
        <family val="2"/>
      </rPr>
      <t xml:space="preserve"> </t>
    </r>
    <r>
      <rPr>
        <sz val="9"/>
        <color theme="1"/>
        <rFont val="맑은 고딕"/>
        <family val="2"/>
      </rPr>
      <t>빠릅니다</t>
    </r>
    <r>
      <rPr>
        <sz val="9"/>
        <color theme="1"/>
        <rFont val="Calibri"/>
        <family val="2"/>
      </rPr>
      <t>.\n\n</t>
    </r>
    <r>
      <rPr>
        <sz val="9"/>
        <color theme="1"/>
        <rFont val="맑은 고딕"/>
        <family val="2"/>
      </rPr>
      <t>이</t>
    </r>
    <r>
      <rPr>
        <sz val="9"/>
        <color theme="1"/>
        <rFont val="Calibri"/>
        <family val="2"/>
      </rPr>
      <t xml:space="preserve"> </t>
    </r>
    <r>
      <rPr>
        <sz val="9"/>
        <color theme="1"/>
        <rFont val="맑은 고딕"/>
        <family val="2"/>
      </rPr>
      <t>경우</t>
    </r>
    <r>
      <rPr>
        <sz val="9"/>
        <color theme="1"/>
        <rFont val="Calibri"/>
        <family val="2"/>
      </rPr>
      <t xml:space="preserve"> </t>
    </r>
    <r>
      <rPr>
        <sz val="9"/>
        <color theme="1"/>
        <rFont val="맑은 고딕"/>
        <family val="2"/>
      </rPr>
      <t>리소스</t>
    </r>
    <r>
      <rPr>
        <sz val="9"/>
        <color theme="1"/>
        <rFont val="Calibri"/>
        <family val="2"/>
      </rPr>
      <t xml:space="preserve"> </t>
    </r>
    <r>
      <rPr>
        <sz val="9"/>
        <color theme="1"/>
        <rFont val="맑은 고딕"/>
        <family val="2"/>
      </rPr>
      <t>계산등에</t>
    </r>
    <r>
      <rPr>
        <sz val="9"/>
        <color theme="1"/>
        <rFont val="Calibri"/>
        <family val="2"/>
      </rPr>
      <t xml:space="preserve"> </t>
    </r>
    <r>
      <rPr>
        <sz val="9"/>
        <color theme="1"/>
        <rFont val="맑은 고딕"/>
        <family val="2"/>
      </rPr>
      <t>문제가</t>
    </r>
    <r>
      <rPr>
        <sz val="9"/>
        <color theme="1"/>
        <rFont val="Calibri"/>
        <family val="2"/>
      </rPr>
      <t xml:space="preserve"> </t>
    </r>
    <r>
      <rPr>
        <sz val="9"/>
        <color theme="1"/>
        <rFont val="맑은 고딕"/>
        <family val="2"/>
      </rPr>
      <t>있을</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 xml:space="preserve">. </t>
    </r>
    <r>
      <rPr>
        <sz val="9"/>
        <color theme="1"/>
        <rFont val="맑은 고딕"/>
        <family val="2"/>
      </rPr>
      <t>시작일을</t>
    </r>
    <r>
      <rPr>
        <sz val="9"/>
        <color theme="1"/>
        <rFont val="Calibri"/>
        <family val="2"/>
      </rPr>
      <t xml:space="preserve"> </t>
    </r>
    <r>
      <rPr>
        <sz val="9"/>
        <color theme="1"/>
        <rFont val="맑은 고딕"/>
        <family val="2"/>
      </rPr>
      <t>환경설정메뉴의</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기간내로</t>
    </r>
    <r>
      <rPr>
        <sz val="9"/>
        <color theme="1"/>
        <rFont val="Calibri"/>
        <family val="2"/>
      </rPr>
      <t xml:space="preserve"> </t>
    </r>
    <r>
      <rPr>
        <sz val="9"/>
        <color theme="1"/>
        <rFont val="맑은 고딕"/>
        <family val="2"/>
      </rPr>
      <t>조정하거나</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기간을</t>
    </r>
    <r>
      <rPr>
        <sz val="9"/>
        <color theme="1"/>
        <rFont val="Calibri"/>
        <family val="2"/>
      </rPr>
      <t xml:space="preserve"> </t>
    </r>
    <r>
      <rPr>
        <sz val="9"/>
        <color theme="1"/>
        <rFont val="맑은 고딕"/>
        <family val="2"/>
      </rPr>
      <t>조정하시기</t>
    </r>
    <r>
      <rPr>
        <sz val="9"/>
        <color theme="1"/>
        <rFont val="Calibri"/>
        <family val="2"/>
      </rPr>
      <t xml:space="preserve"> </t>
    </r>
    <r>
      <rPr>
        <sz val="9"/>
        <color theme="1"/>
        <rFont val="맑은 고딕"/>
        <family val="2"/>
      </rPr>
      <t>바랍니다</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</si>
  <si>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완료일이</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아닙니다</t>
    </r>
    <r>
      <rPr>
        <sz val="9"/>
        <color theme="1"/>
        <rFont val="Calibri"/>
        <family val="2"/>
      </rPr>
      <t xml:space="preserve">. </t>
    </r>
    <r>
      <rPr>
        <sz val="9"/>
        <color theme="1"/>
        <rFont val="맑은 고딕"/>
        <family val="2"/>
      </rPr>
      <t>정확한</t>
    </r>
    <r>
      <rPr>
        <sz val="9"/>
        <color theme="1"/>
        <rFont val="Calibri"/>
        <family val="2"/>
      </rPr>
      <t xml:space="preserve"> </t>
    </r>
    <r>
      <rPr>
        <sz val="9"/>
        <color theme="1"/>
        <rFont val="맑은 고딕"/>
        <family val="2"/>
      </rPr>
      <t>날짜형식으로</t>
    </r>
    <r>
      <rPr>
        <sz val="9"/>
        <color theme="1"/>
        <rFont val="Calibri"/>
        <family val="2"/>
      </rPr>
      <t xml:space="preserve"> </t>
    </r>
    <r>
      <rPr>
        <sz val="9"/>
        <color theme="1"/>
        <rFont val="맑은 고딕"/>
        <family val="2"/>
      </rPr>
      <t>입력하세요</t>
    </r>
    <r>
      <rPr>
        <sz val="9"/>
        <color theme="1"/>
        <rFont val="Calibri"/>
        <family val="2"/>
      </rPr>
      <t>.</t>
    </r>
  </si>
  <si>
    <r>
      <t>Gantt</t>
    </r>
    <r>
      <rPr>
        <sz val="9"/>
        <color theme="1"/>
        <rFont val="맑은 고딕"/>
        <family val="2"/>
      </rPr>
      <t>영역의</t>
    </r>
    <r>
      <rPr>
        <sz val="9"/>
        <color theme="1"/>
        <rFont val="Calibri"/>
        <family val="2"/>
      </rPr>
      <t xml:space="preserve"> </t>
    </r>
    <r>
      <rPr>
        <sz val="9"/>
        <color theme="1"/>
        <rFont val="맑은 고딕"/>
        <family val="2"/>
      </rPr>
      <t>첫번째</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</si>
  <si>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다음</t>
    </r>
    <r>
      <rPr>
        <sz val="9"/>
        <color theme="1"/>
        <rFont val="Calibri"/>
        <family val="2"/>
      </rPr>
      <t xml:space="preserve"> </t>
    </r>
    <r>
      <rPr>
        <sz val="9"/>
        <color theme="1"/>
        <rFont val="맑은 고딕"/>
        <family val="2"/>
      </rPr>
      <t>파일은</t>
    </r>
    <r>
      <rPr>
        <sz val="9"/>
        <color theme="1"/>
        <rFont val="Calibri"/>
        <family val="2"/>
      </rPr>
      <t xml:space="preserve"> </t>
    </r>
    <r>
      <rPr>
        <sz val="9"/>
        <color theme="1"/>
        <rFont val="맑은 고딕"/>
        <family val="2"/>
      </rPr>
      <t>지원하지</t>
    </r>
    <r>
      <rPr>
        <sz val="9"/>
        <color theme="1"/>
        <rFont val="Calibri"/>
        <family val="2"/>
      </rPr>
      <t xml:space="preserve"> </t>
    </r>
    <r>
      <rPr>
        <sz val="9"/>
        <color theme="1"/>
        <rFont val="맑은 고딕"/>
        <family val="2"/>
      </rPr>
      <t>않는</t>
    </r>
    <r>
      <rPr>
        <sz val="9"/>
        <color theme="1"/>
        <rFont val="Calibri"/>
        <family val="2"/>
      </rPr>
      <t xml:space="preserve"> </t>
    </r>
    <r>
      <rPr>
        <sz val="9"/>
        <color theme="1"/>
        <rFont val="맑은 고딕"/>
        <family val="2"/>
      </rPr>
      <t>형식입니다</t>
    </r>
    <r>
      <rPr>
        <sz val="9"/>
        <color theme="1"/>
        <rFont val="Calibri"/>
        <family val="2"/>
      </rPr>
      <t xml:space="preserve">. XLGantt Version 0.9.7 </t>
    </r>
    <r>
      <rPr>
        <sz val="9"/>
        <color theme="1"/>
        <rFont val="맑은 고딕"/>
        <family val="2"/>
      </rPr>
      <t>이상</t>
    </r>
    <r>
      <rPr>
        <sz val="9"/>
        <color theme="1"/>
        <rFont val="Calibri"/>
        <family val="2"/>
      </rPr>
      <t xml:space="preserve"> </t>
    </r>
    <r>
      <rPr>
        <sz val="9"/>
        <color theme="1"/>
        <rFont val="맑은 고딕"/>
        <family val="2"/>
      </rPr>
      <t>버전만</t>
    </r>
    <r>
      <rPr>
        <sz val="9"/>
        <color theme="1"/>
        <rFont val="Calibri"/>
        <family val="2"/>
      </rPr>
      <t xml:space="preserve"> </t>
    </r>
    <r>
      <rPr>
        <sz val="9"/>
        <color theme="1"/>
        <rFont val="맑은 고딕"/>
        <family val="2"/>
      </rPr>
      <t>지원합니다</t>
    </r>
    <r>
      <rPr>
        <sz val="9"/>
        <color theme="1"/>
        <rFont val="Calibri"/>
        <family val="2"/>
      </rPr>
      <t>.</t>
    </r>
  </si>
  <si>
    <r>
      <rPr>
        <sz val="9"/>
        <color theme="1"/>
        <rFont val="맑은 고딕"/>
        <family val="2"/>
      </rPr>
      <t>다음의</t>
    </r>
    <r>
      <rPr>
        <sz val="9"/>
        <color theme="1"/>
        <rFont val="Calibri"/>
        <family val="2"/>
      </rPr>
      <t xml:space="preserve"> XLGantt</t>
    </r>
    <r>
      <rPr>
        <sz val="9"/>
        <color theme="1"/>
        <rFont val="맑은 고딕"/>
        <family val="2"/>
      </rPr>
      <t>파일은</t>
    </r>
    <r>
      <rPr>
        <sz val="9"/>
        <color theme="1"/>
        <rFont val="Calibri"/>
        <family val="2"/>
      </rPr>
      <t xml:space="preserve"> </t>
    </r>
    <r>
      <rPr>
        <sz val="9"/>
        <color theme="1"/>
        <rFont val="맑은 고딕"/>
        <family val="2"/>
      </rPr>
      <t>지원하지</t>
    </r>
    <r>
      <rPr>
        <sz val="9"/>
        <color theme="1"/>
        <rFont val="Calibri"/>
        <family val="2"/>
      </rPr>
      <t xml:space="preserve"> </t>
    </r>
    <r>
      <rPr>
        <sz val="9"/>
        <color theme="1"/>
        <rFont val="맑은 고딕"/>
        <family val="2"/>
      </rPr>
      <t>않는</t>
    </r>
    <r>
      <rPr>
        <sz val="9"/>
        <color theme="1"/>
        <rFont val="Calibri"/>
        <family val="2"/>
      </rPr>
      <t xml:space="preserve"> </t>
    </r>
    <r>
      <rPr>
        <sz val="9"/>
        <color theme="1"/>
        <rFont val="맑은 고딕"/>
        <family val="2"/>
      </rPr>
      <t>버전입니다</t>
    </r>
    <r>
      <rPr>
        <sz val="9"/>
        <color theme="1"/>
        <rFont val="Calibri"/>
        <family val="2"/>
      </rPr>
      <t xml:space="preserve">. Version 0.9.7 </t>
    </r>
    <r>
      <rPr>
        <sz val="9"/>
        <color theme="1"/>
        <rFont val="맑은 고딕"/>
        <family val="2"/>
      </rPr>
      <t>이상</t>
    </r>
    <r>
      <rPr>
        <sz val="9"/>
        <color theme="1"/>
        <rFont val="Calibri"/>
        <family val="2"/>
      </rPr>
      <t xml:space="preserve"> </t>
    </r>
    <r>
      <rPr>
        <sz val="9"/>
        <color theme="1"/>
        <rFont val="맑은 고딕"/>
        <family val="2"/>
      </rPr>
      <t>버전만</t>
    </r>
    <r>
      <rPr>
        <sz val="9"/>
        <color theme="1"/>
        <rFont val="Calibri"/>
        <family val="2"/>
      </rPr>
      <t xml:space="preserve"> </t>
    </r>
    <r>
      <rPr>
        <sz val="9"/>
        <color theme="1"/>
        <rFont val="맑은 고딕"/>
        <family val="2"/>
      </rPr>
      <t>지원합니다</t>
    </r>
    <r>
      <rPr>
        <sz val="9"/>
        <color theme="1"/>
        <rFont val="Calibri"/>
        <family val="2"/>
      </rPr>
      <t>.</t>
    </r>
  </si>
  <si>
    <r>
      <rPr>
        <sz val="9"/>
        <color theme="1"/>
        <rFont val="맑은 고딕"/>
        <family val="2"/>
      </rPr>
      <t>다음</t>
    </r>
    <r>
      <rPr>
        <sz val="9"/>
        <color theme="1"/>
        <rFont val="Calibri"/>
        <family val="2"/>
      </rPr>
      <t xml:space="preserve"> </t>
    </r>
    <r>
      <rPr>
        <sz val="9"/>
        <color theme="1"/>
        <rFont val="맑은 고딕"/>
        <family val="2"/>
      </rPr>
      <t>파일을</t>
    </r>
    <r>
      <rPr>
        <sz val="9"/>
        <color theme="1"/>
        <rFont val="Calibri"/>
        <family val="2"/>
      </rPr>
      <t xml:space="preserve"> </t>
    </r>
    <r>
      <rPr>
        <sz val="9"/>
        <color theme="1"/>
        <rFont val="맑은 고딕"/>
        <family val="2"/>
      </rPr>
      <t>성공적으로</t>
    </r>
    <r>
      <rPr>
        <sz val="9"/>
        <color theme="1"/>
        <rFont val="Calibri"/>
        <family val="2"/>
      </rPr>
      <t xml:space="preserve"> </t>
    </r>
    <r>
      <rPr>
        <sz val="9"/>
        <color theme="1"/>
        <rFont val="맑은 고딕"/>
        <family val="2"/>
      </rPr>
      <t>가져왔습니다</t>
    </r>
    <r>
      <rPr>
        <sz val="9"/>
        <color theme="1"/>
        <rFont val="Calibri"/>
        <family val="2"/>
      </rPr>
      <t>.</t>
    </r>
  </si>
  <si>
    <r>
      <rPr>
        <sz val="9"/>
        <color theme="1"/>
        <rFont val="맑은 고딕"/>
        <family val="2"/>
      </rPr>
      <t>다음의</t>
    </r>
    <r>
      <rPr>
        <sz val="9"/>
        <color theme="1"/>
        <rFont val="Calibri"/>
        <family val="2"/>
      </rPr>
      <t xml:space="preserve"> </t>
    </r>
    <r>
      <rPr>
        <sz val="9"/>
        <color theme="1"/>
        <rFont val="맑은 고딕"/>
        <family val="2"/>
      </rPr>
      <t>폴더가</t>
    </r>
    <r>
      <rPr>
        <sz val="9"/>
        <color theme="1"/>
        <rFont val="Calibri"/>
        <family val="2"/>
      </rPr>
      <t xml:space="preserve"> </t>
    </r>
    <r>
      <rPr>
        <sz val="9"/>
        <color theme="1"/>
        <rFont val="맑은 고딕"/>
        <family val="2"/>
      </rPr>
      <t>존재하지</t>
    </r>
    <r>
      <rPr>
        <sz val="9"/>
        <color theme="1"/>
        <rFont val="Calibri"/>
        <family val="2"/>
      </rPr>
      <t xml:space="preserve"> </t>
    </r>
    <r>
      <rPr>
        <sz val="9"/>
        <color theme="1"/>
        <rFont val="맑은 고딕"/>
        <family val="2"/>
      </rPr>
      <t>않습니다</t>
    </r>
    <r>
      <rPr>
        <sz val="9"/>
        <color theme="1"/>
        <rFont val="Calibri"/>
        <family val="2"/>
      </rPr>
      <t>.</t>
    </r>
  </si>
  <si>
    <r>
      <rPr>
        <sz val="9"/>
        <color theme="1"/>
        <rFont val="맑은 고딕"/>
        <family val="2"/>
      </rPr>
      <t>계획진척율</t>
    </r>
    <r>
      <rPr>
        <sz val="9"/>
        <color theme="1"/>
        <rFont val="Calibri"/>
        <family val="2"/>
      </rPr>
      <t xml:space="preserve"> </t>
    </r>
    <r>
      <rPr>
        <sz val="9"/>
        <color theme="1"/>
        <rFont val="맑은 고딕"/>
        <family val="2"/>
      </rPr>
      <t>계산</t>
    </r>
    <r>
      <rPr>
        <sz val="9"/>
        <color theme="1"/>
        <rFont val="Calibri"/>
        <family val="2"/>
      </rPr>
      <t xml:space="preserve"> </t>
    </r>
    <r>
      <rPr>
        <sz val="9"/>
        <color theme="1"/>
        <rFont val="맑은 고딕"/>
        <family val="2"/>
      </rPr>
      <t>기준일자의</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잘못되었습니다</t>
    </r>
    <r>
      <rPr>
        <sz val="9"/>
        <color theme="1"/>
        <rFont val="Calibri"/>
        <family val="2"/>
      </rPr>
      <t>.</t>
    </r>
  </si>
  <si>
    <r>
      <rPr>
        <sz val="9"/>
        <color theme="1"/>
        <rFont val="맑은 고딕"/>
        <family val="2"/>
      </rPr>
      <t>프로젝트</t>
    </r>
    <r>
      <rPr>
        <sz val="9"/>
        <color theme="1"/>
        <rFont val="Calibri"/>
        <family val="2"/>
      </rPr>
      <t xml:space="preserve"> </t>
    </r>
    <r>
      <rPr>
        <sz val="9"/>
        <color theme="1"/>
        <rFont val="맑은 고딕"/>
        <family val="2"/>
      </rPr>
      <t>완료일의</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잘못되었습니다</t>
    </r>
    <r>
      <rPr>
        <sz val="9"/>
        <color theme="1"/>
        <rFont val="Calibri"/>
        <family val="2"/>
      </rPr>
      <t>.</t>
    </r>
  </si>
  <si>
    <r>
      <rPr>
        <sz val="9"/>
        <color theme="1"/>
        <rFont val="맑은 고딕"/>
        <family val="2"/>
      </rPr>
      <t>프로젝트</t>
    </r>
    <r>
      <rPr>
        <sz val="9"/>
        <color theme="1"/>
        <rFont val="Calibri"/>
        <family val="2"/>
      </rPr>
      <t xml:space="preserve"> </t>
    </r>
    <r>
      <rPr>
        <sz val="9"/>
        <color theme="1"/>
        <rFont val="맑은 고딕"/>
        <family val="2"/>
      </rPr>
      <t>시작일의</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잘못되었습니다</t>
    </r>
    <r>
      <rPr>
        <sz val="9"/>
        <color theme="1"/>
        <rFont val="Calibri"/>
        <family val="2"/>
      </rPr>
      <t>.</t>
    </r>
  </si>
  <si>
    <r>
      <rPr>
        <sz val="9"/>
        <color theme="1"/>
        <rFont val="맑은 고딕"/>
        <family val="2"/>
      </rPr>
      <t>작업이</t>
    </r>
    <r>
      <rPr>
        <sz val="9"/>
        <color theme="1"/>
        <rFont val="Calibri"/>
        <family val="2"/>
      </rPr>
      <t xml:space="preserve"> </t>
    </r>
    <r>
      <rPr>
        <sz val="9"/>
        <color theme="1"/>
        <rFont val="맑은 고딕"/>
        <family val="2"/>
      </rPr>
      <t>정상적으로</t>
    </r>
    <r>
      <rPr>
        <sz val="9"/>
        <color theme="1"/>
        <rFont val="Calibri"/>
        <family val="2"/>
      </rPr>
      <t xml:space="preserve"> </t>
    </r>
    <r>
      <rPr>
        <sz val="9"/>
        <color theme="1"/>
        <rFont val="맑은 고딕"/>
        <family val="2"/>
      </rPr>
      <t>완료되지</t>
    </r>
    <r>
      <rPr>
        <sz val="9"/>
        <color theme="1"/>
        <rFont val="Calibri"/>
        <family val="2"/>
      </rPr>
      <t xml:space="preserve"> </t>
    </r>
    <r>
      <rPr>
        <sz val="9"/>
        <color theme="1"/>
        <rFont val="맑은 고딕"/>
        <family val="2"/>
      </rPr>
      <t>않았습니다</t>
    </r>
    <r>
      <rPr>
        <sz val="9"/>
        <color theme="1"/>
        <rFont val="Calibri"/>
        <family val="2"/>
      </rPr>
      <t>.</t>
    </r>
  </si>
  <si>
    <r>
      <rPr>
        <sz val="9"/>
        <color theme="1"/>
        <rFont val="맑은 고딕"/>
        <family val="2"/>
      </rPr>
      <t>기간의</t>
    </r>
    <r>
      <rPr>
        <sz val="9"/>
        <color theme="1"/>
        <rFont val="Calibri"/>
        <family val="2"/>
      </rPr>
      <t xml:space="preserve"> </t>
    </r>
    <r>
      <rPr>
        <sz val="9"/>
        <color theme="1"/>
        <rFont val="맑은 고딕"/>
        <family val="2"/>
      </rPr>
      <t>종류가</t>
    </r>
    <r>
      <rPr>
        <sz val="9"/>
        <color theme="1"/>
        <rFont val="Calibri"/>
        <family val="2"/>
      </rPr>
      <t xml:space="preserve"> </t>
    </r>
    <r>
      <rPr>
        <sz val="9"/>
        <color theme="1"/>
        <rFont val="맑은 고딕"/>
        <family val="2"/>
      </rPr>
      <t>잘못되었습니다</t>
    </r>
    <r>
      <rPr>
        <sz val="9"/>
        <color theme="1"/>
        <rFont val="Calibri"/>
        <family val="2"/>
      </rPr>
      <t>. W(</t>
    </r>
    <r>
      <rPr>
        <sz val="9"/>
        <color theme="1"/>
        <rFont val="맑은 고딕"/>
        <family val="2"/>
      </rPr>
      <t>주</t>
    </r>
    <r>
      <rPr>
        <sz val="9"/>
        <color theme="1"/>
        <rFont val="Calibri"/>
        <family val="2"/>
      </rPr>
      <t>), M(</t>
    </r>
    <r>
      <rPr>
        <sz val="9"/>
        <color theme="1"/>
        <rFont val="맑은 고딕"/>
        <family val="2"/>
      </rPr>
      <t>월</t>
    </r>
    <r>
      <rPr>
        <sz val="9"/>
        <color theme="1"/>
        <rFont val="Calibri"/>
        <family val="2"/>
      </rPr>
      <t xml:space="preserve">) </t>
    </r>
    <r>
      <rPr>
        <sz val="9"/>
        <color theme="1"/>
        <rFont val="맑은 고딕"/>
        <family val="2"/>
      </rPr>
      <t>중에</t>
    </r>
    <r>
      <rPr>
        <sz val="9"/>
        <color theme="1"/>
        <rFont val="Calibri"/>
        <family val="2"/>
      </rPr>
      <t xml:space="preserve"> </t>
    </r>
    <r>
      <rPr>
        <sz val="9"/>
        <color theme="1"/>
        <rFont val="맑은 고딕"/>
        <family val="2"/>
      </rPr>
      <t>하나를</t>
    </r>
    <r>
      <rPr>
        <sz val="9"/>
        <color theme="1"/>
        <rFont val="Calibri"/>
        <family val="2"/>
      </rPr>
      <t xml:space="preserve"> </t>
    </r>
    <r>
      <rPr>
        <sz val="9"/>
        <color theme="1"/>
        <rFont val="맑은 고딕"/>
        <family val="2"/>
      </rPr>
      <t>입력해야</t>
    </r>
    <r>
      <rPr>
        <sz val="9"/>
        <color theme="1"/>
        <rFont val="Calibri"/>
        <family val="2"/>
      </rPr>
      <t xml:space="preserve"> </t>
    </r>
    <r>
      <rPr>
        <sz val="9"/>
        <color theme="1"/>
        <rFont val="맑은 고딕"/>
        <family val="2"/>
      </rPr>
      <t>합니다</t>
    </r>
  </si>
  <si>
    <r>
      <rPr>
        <sz val="9"/>
        <color theme="1"/>
        <rFont val="맑은 고딕"/>
        <family val="2"/>
      </rPr>
      <t>가장</t>
    </r>
    <r>
      <rPr>
        <sz val="9"/>
        <color theme="1"/>
        <rFont val="Calibri"/>
        <family val="2"/>
      </rPr>
      <t xml:space="preserve"> </t>
    </r>
    <r>
      <rPr>
        <sz val="9"/>
        <color theme="1"/>
        <rFont val="맑은 고딕"/>
        <family val="2"/>
      </rPr>
      <t>늦은</t>
    </r>
    <r>
      <rPr>
        <sz val="9"/>
        <color theme="1"/>
        <rFont val="Calibri"/>
        <family val="2"/>
      </rPr>
      <t xml:space="preserve"> </t>
    </r>
    <r>
      <rPr>
        <sz val="9"/>
        <color theme="1"/>
        <rFont val="맑은 고딕"/>
        <family val="2"/>
      </rPr>
      <t>완료일</t>
    </r>
    <r>
      <rPr>
        <sz val="9"/>
        <color theme="1"/>
        <rFont val="Calibri"/>
        <family val="2"/>
      </rPr>
      <t>({1})</t>
    </r>
    <r>
      <rPr>
        <sz val="9"/>
        <color theme="1"/>
        <rFont val="맑은 고딕"/>
        <family val="2"/>
      </rPr>
      <t>이</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기간정보의</t>
    </r>
    <r>
      <rPr>
        <sz val="9"/>
        <color theme="1"/>
        <rFont val="Calibri"/>
        <family val="2"/>
      </rPr>
      <t xml:space="preserve"> </t>
    </r>
    <r>
      <rPr>
        <sz val="9"/>
        <color theme="1"/>
        <rFont val="맑은 고딕"/>
        <family val="2"/>
      </rPr>
      <t>완료일</t>
    </r>
    <r>
      <rPr>
        <sz val="9"/>
        <color theme="1"/>
        <rFont val="Calibri"/>
        <family val="2"/>
      </rPr>
      <t>({2})</t>
    </r>
    <r>
      <rPr>
        <sz val="9"/>
        <color theme="1"/>
        <rFont val="맑은 고딕"/>
        <family val="2"/>
      </rPr>
      <t>보다</t>
    </r>
    <r>
      <rPr>
        <sz val="9"/>
        <color theme="1"/>
        <rFont val="Calibri"/>
        <family val="2"/>
      </rPr>
      <t xml:space="preserve"> </t>
    </r>
    <r>
      <rPr>
        <sz val="9"/>
        <color theme="1"/>
        <rFont val="맑은 고딕"/>
        <family val="2"/>
      </rPr>
      <t>더</t>
    </r>
    <r>
      <rPr>
        <sz val="9"/>
        <color theme="1"/>
        <rFont val="Calibri"/>
        <family val="2"/>
      </rPr>
      <t xml:space="preserve"> </t>
    </r>
    <r>
      <rPr>
        <sz val="9"/>
        <color theme="1"/>
        <rFont val="맑은 고딕"/>
        <family val="2"/>
      </rPr>
      <t>늦습니다</t>
    </r>
    <r>
      <rPr>
        <sz val="9"/>
        <color theme="1"/>
        <rFont val="Calibri"/>
        <family val="2"/>
      </rPr>
      <t>.\n\n</t>
    </r>
    <r>
      <rPr>
        <sz val="9"/>
        <color theme="1"/>
        <rFont val="맑은 고딕"/>
        <family val="2"/>
      </rPr>
      <t>이</t>
    </r>
    <r>
      <rPr>
        <sz val="9"/>
        <color theme="1"/>
        <rFont val="Calibri"/>
        <family val="2"/>
      </rPr>
      <t xml:space="preserve"> </t>
    </r>
    <r>
      <rPr>
        <sz val="9"/>
        <color theme="1"/>
        <rFont val="맑은 고딕"/>
        <family val="2"/>
      </rPr>
      <t>경우</t>
    </r>
    <r>
      <rPr>
        <sz val="9"/>
        <color theme="1"/>
        <rFont val="Calibri"/>
        <family val="2"/>
      </rPr>
      <t xml:space="preserve"> </t>
    </r>
    <r>
      <rPr>
        <sz val="9"/>
        <color theme="1"/>
        <rFont val="맑은 고딕"/>
        <family val="2"/>
      </rPr>
      <t>리소스</t>
    </r>
    <r>
      <rPr>
        <sz val="9"/>
        <color theme="1"/>
        <rFont val="Calibri"/>
        <family val="2"/>
      </rPr>
      <t xml:space="preserve"> </t>
    </r>
    <r>
      <rPr>
        <sz val="9"/>
        <color theme="1"/>
        <rFont val="맑은 고딕"/>
        <family val="2"/>
      </rPr>
      <t>계산등에</t>
    </r>
    <r>
      <rPr>
        <sz val="9"/>
        <color theme="1"/>
        <rFont val="Calibri"/>
        <family val="2"/>
      </rPr>
      <t xml:space="preserve"> </t>
    </r>
    <r>
      <rPr>
        <sz val="9"/>
        <color theme="1"/>
        <rFont val="맑은 고딕"/>
        <family val="2"/>
      </rPr>
      <t>문제가</t>
    </r>
    <r>
      <rPr>
        <sz val="9"/>
        <color theme="1"/>
        <rFont val="Calibri"/>
        <family val="2"/>
      </rPr>
      <t xml:space="preserve"> </t>
    </r>
    <r>
      <rPr>
        <sz val="9"/>
        <color theme="1"/>
        <rFont val="맑은 고딕"/>
        <family val="2"/>
      </rPr>
      <t>있을</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 xml:space="preserve">. </t>
    </r>
    <r>
      <rPr>
        <sz val="9"/>
        <color theme="1"/>
        <rFont val="맑은 고딕"/>
        <family val="2"/>
      </rPr>
      <t>완료일을</t>
    </r>
    <r>
      <rPr>
        <sz val="9"/>
        <color theme="1"/>
        <rFont val="Calibri"/>
        <family val="2"/>
      </rPr>
      <t xml:space="preserve"> </t>
    </r>
    <r>
      <rPr>
        <sz val="9"/>
        <color theme="1"/>
        <rFont val="맑은 고딕"/>
        <family val="2"/>
      </rPr>
      <t>환경설정메뉴의</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기간내로</t>
    </r>
    <r>
      <rPr>
        <sz val="9"/>
        <color theme="1"/>
        <rFont val="Calibri"/>
        <family val="2"/>
      </rPr>
      <t xml:space="preserve"> </t>
    </r>
    <r>
      <rPr>
        <sz val="9"/>
        <color theme="1"/>
        <rFont val="맑은 고딕"/>
        <family val="2"/>
      </rPr>
      <t>조정하거나</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기간을</t>
    </r>
    <r>
      <rPr>
        <sz val="9"/>
        <color theme="1"/>
        <rFont val="Calibri"/>
        <family val="2"/>
      </rPr>
      <t xml:space="preserve"> </t>
    </r>
    <r>
      <rPr>
        <sz val="9"/>
        <color theme="1"/>
        <rFont val="맑은 고딕"/>
        <family val="2"/>
      </rPr>
      <t>조정하시기</t>
    </r>
    <r>
      <rPr>
        <sz val="9"/>
        <color theme="1"/>
        <rFont val="Calibri"/>
        <family val="2"/>
      </rPr>
      <t xml:space="preserve"> </t>
    </r>
    <r>
      <rPr>
        <sz val="9"/>
        <color theme="1"/>
        <rFont val="맑은 고딕"/>
        <family val="2"/>
      </rPr>
      <t>바랍니다</t>
    </r>
    <r>
      <rPr>
        <sz val="9"/>
        <color theme="1"/>
        <rFont val="Calibri"/>
        <family val="2"/>
      </rPr>
      <t>.</t>
    </r>
  </si>
  <si>
    <r>
      <t xml:space="preserve">{} </t>
    </r>
    <r>
      <rPr>
        <sz val="9"/>
        <color theme="1"/>
        <rFont val="맑은 고딕"/>
        <family val="2"/>
      </rPr>
      <t>행의</t>
    </r>
    <r>
      <rPr>
        <sz val="9"/>
        <color theme="1"/>
        <rFont val="Calibri"/>
        <family val="2"/>
      </rPr>
      <t xml:space="preserve"> Level</t>
    </r>
    <r>
      <rPr>
        <sz val="9"/>
        <color theme="1"/>
        <rFont val="맑은 고딕"/>
        <family val="2"/>
      </rPr>
      <t>이</t>
    </r>
    <r>
      <rPr>
        <sz val="9"/>
        <color theme="1"/>
        <rFont val="Calibri"/>
        <family val="2"/>
      </rPr>
      <t xml:space="preserve"> </t>
    </r>
    <r>
      <rPr>
        <sz val="9"/>
        <color theme="1"/>
        <rFont val="맑은 고딕"/>
        <family val="2"/>
      </rPr>
      <t>맞지</t>
    </r>
    <r>
      <rPr>
        <sz val="9"/>
        <color theme="1"/>
        <rFont val="Calibri"/>
        <family val="2"/>
      </rPr>
      <t xml:space="preserve"> </t>
    </r>
    <r>
      <rPr>
        <sz val="9"/>
        <color theme="1"/>
        <rFont val="맑은 고딕"/>
        <family val="2"/>
      </rPr>
      <t>않습니다</t>
    </r>
    <r>
      <rPr>
        <sz val="9"/>
        <color theme="1"/>
        <rFont val="Calibri"/>
        <family val="2"/>
      </rPr>
      <t>. Level</t>
    </r>
    <r>
      <rPr>
        <sz val="9"/>
        <color theme="1"/>
        <rFont val="맑은 고딕"/>
        <family val="2"/>
      </rPr>
      <t>을</t>
    </r>
    <r>
      <rPr>
        <sz val="9"/>
        <color theme="1"/>
        <rFont val="Calibri"/>
        <family val="2"/>
      </rPr>
      <t xml:space="preserve"> 1</t>
    </r>
    <r>
      <rPr>
        <sz val="9"/>
        <color theme="1"/>
        <rFont val="맑은 고딕"/>
        <family val="2"/>
      </rPr>
      <t>보다</t>
    </r>
    <r>
      <rPr>
        <sz val="9"/>
        <color theme="1"/>
        <rFont val="Calibri"/>
        <family val="2"/>
      </rPr>
      <t xml:space="preserve"> </t>
    </r>
    <r>
      <rPr>
        <sz val="9"/>
        <color theme="1"/>
        <rFont val="맑은 고딕"/>
        <family val="2"/>
      </rPr>
      <t>크게</t>
    </r>
    <r>
      <rPr>
        <sz val="9"/>
        <color theme="1"/>
        <rFont val="Calibri"/>
        <family val="2"/>
      </rPr>
      <t xml:space="preserve"> </t>
    </r>
    <r>
      <rPr>
        <sz val="9"/>
        <color theme="1"/>
        <rFont val="맑은 고딕"/>
        <family val="2"/>
      </rPr>
      <t>증가했는지</t>
    </r>
    <r>
      <rPr>
        <sz val="9"/>
        <color theme="1"/>
        <rFont val="Calibri"/>
        <family val="2"/>
      </rPr>
      <t xml:space="preserve"> </t>
    </r>
    <r>
      <rPr>
        <sz val="9"/>
        <color theme="1"/>
        <rFont val="맑은 고딕"/>
        <family val="2"/>
      </rPr>
      <t>확인하세요</t>
    </r>
    <r>
      <rPr>
        <sz val="9"/>
        <color theme="1"/>
        <rFont val="Calibri"/>
        <family val="2"/>
      </rPr>
      <t>.</t>
    </r>
  </si>
  <si>
    <r>
      <t>Level</t>
    </r>
    <r>
      <rPr>
        <sz val="9"/>
        <color theme="1"/>
        <rFont val="맑은 고딕"/>
        <family val="2"/>
      </rPr>
      <t>의</t>
    </r>
    <r>
      <rPr>
        <sz val="9"/>
        <color theme="1"/>
        <rFont val="Calibri"/>
        <family val="2"/>
      </rPr>
      <t xml:space="preserve"> </t>
    </r>
    <r>
      <rPr>
        <sz val="9"/>
        <color theme="1"/>
        <rFont val="맑은 고딕"/>
        <family val="2"/>
      </rPr>
      <t>갯수는</t>
    </r>
    <r>
      <rPr>
        <sz val="9"/>
        <color theme="1"/>
        <rFont val="Calibri"/>
        <family val="2"/>
      </rPr>
      <t xml:space="preserve"> {}</t>
    </r>
    <r>
      <rPr>
        <sz val="9"/>
        <color theme="1"/>
        <rFont val="맑은 고딕"/>
        <family val="2"/>
      </rPr>
      <t>개까지만</t>
    </r>
    <r>
      <rPr>
        <sz val="9"/>
        <color theme="1"/>
        <rFont val="Calibri"/>
        <family val="2"/>
      </rPr>
      <t xml:space="preserve"> </t>
    </r>
    <r>
      <rPr>
        <sz val="9"/>
        <color theme="1"/>
        <rFont val="맑은 고딕"/>
        <family val="2"/>
      </rPr>
      <t>가능합니다</t>
    </r>
    <r>
      <rPr>
        <sz val="9"/>
        <color theme="1"/>
        <rFont val="Calibri"/>
        <family val="2"/>
      </rPr>
      <t>.</t>
    </r>
  </si>
  <si>
    <r>
      <t>Level</t>
    </r>
    <r>
      <rPr>
        <sz val="9"/>
        <color theme="1"/>
        <rFont val="맑은 고딕"/>
        <family val="2"/>
      </rPr>
      <t>의</t>
    </r>
    <r>
      <rPr>
        <sz val="9"/>
        <color theme="1"/>
        <rFont val="Calibri"/>
        <family val="2"/>
      </rPr>
      <t xml:space="preserve"> </t>
    </r>
    <r>
      <rPr>
        <sz val="9"/>
        <color theme="1"/>
        <rFont val="맑은 고딕"/>
        <family val="2"/>
      </rPr>
      <t>갯수는</t>
    </r>
    <r>
      <rPr>
        <sz val="9"/>
        <color theme="1"/>
        <rFont val="Calibri"/>
        <family val="2"/>
      </rPr>
      <t xml:space="preserve"> </t>
    </r>
    <r>
      <rPr>
        <sz val="9"/>
        <color theme="1"/>
        <rFont val="맑은 고딕"/>
        <family val="2"/>
      </rPr>
      <t>양의</t>
    </r>
    <r>
      <rPr>
        <sz val="9"/>
        <color theme="1"/>
        <rFont val="Calibri"/>
        <family val="2"/>
      </rPr>
      <t xml:space="preserve"> </t>
    </r>
    <r>
      <rPr>
        <sz val="9"/>
        <color theme="1"/>
        <rFont val="맑은 고딕"/>
        <family val="2"/>
      </rPr>
      <t>정수만</t>
    </r>
    <r>
      <rPr>
        <sz val="9"/>
        <color theme="1"/>
        <rFont val="Calibri"/>
        <family val="2"/>
      </rPr>
      <t xml:space="preserve"> </t>
    </r>
    <r>
      <rPr>
        <sz val="9"/>
        <color theme="1"/>
        <rFont val="맑은 고딕"/>
        <family val="2"/>
      </rPr>
      <t>가능합니다</t>
    </r>
    <r>
      <rPr>
        <sz val="9"/>
        <color theme="1"/>
        <rFont val="Calibri"/>
        <family val="2"/>
      </rPr>
      <t>.</t>
    </r>
  </si>
  <si>
    <r>
      <t>Task</t>
    </r>
    <r>
      <rPr>
        <sz val="9"/>
        <color theme="1"/>
        <rFont val="맑은 고딕"/>
        <family val="2"/>
      </rPr>
      <t>열의</t>
    </r>
    <r>
      <rPr>
        <sz val="9"/>
        <color theme="1"/>
        <rFont val="Calibri"/>
        <family val="2"/>
      </rPr>
      <t xml:space="preserve"> </t>
    </r>
    <r>
      <rPr>
        <sz val="9"/>
        <color theme="1"/>
        <rFont val="맑은 고딕"/>
        <family val="2"/>
      </rPr>
      <t>갯수가</t>
    </r>
    <r>
      <rPr>
        <sz val="9"/>
        <color theme="1"/>
        <rFont val="Calibri"/>
        <family val="2"/>
      </rPr>
      <t xml:space="preserve"> 7</t>
    </r>
    <r>
      <rPr>
        <sz val="9"/>
        <color theme="1"/>
        <rFont val="맑은 고딕"/>
        <family val="2"/>
      </rPr>
      <t>개가</t>
    </r>
    <r>
      <rPr>
        <sz val="9"/>
        <color theme="1"/>
        <rFont val="Calibri"/>
        <family val="2"/>
      </rPr>
      <t xml:space="preserve"> </t>
    </r>
    <r>
      <rPr>
        <sz val="9"/>
        <color theme="1"/>
        <rFont val="맑은 고딕"/>
        <family val="2"/>
      </rPr>
      <t>아닙니다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</si>
  <si>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t>{} sheet</t>
    </r>
    <r>
      <rPr>
        <sz val="9"/>
        <color theme="1"/>
        <rFont val="맑은 고딕"/>
        <family val="2"/>
      </rPr>
      <t>의</t>
    </r>
    <r>
      <rPr>
        <sz val="9"/>
        <color theme="1"/>
        <rFont val="Calibri"/>
        <family val="2"/>
      </rPr>
      <t xml:space="preserve"> </t>
    </r>
    <r>
      <rPr>
        <sz val="9"/>
        <color theme="1"/>
        <rFont val="맑은 고딕"/>
        <family val="2"/>
      </rPr>
      <t>에러로</t>
    </r>
    <r>
      <rPr>
        <sz val="9"/>
        <color theme="1"/>
        <rFont val="Calibri"/>
        <family val="2"/>
      </rPr>
      <t xml:space="preserve"> </t>
    </r>
    <r>
      <rPr>
        <sz val="9"/>
        <color theme="1"/>
        <rFont val="맑은 고딕"/>
        <family val="2"/>
      </rPr>
      <t>인해</t>
    </r>
    <r>
      <rPr>
        <sz val="9"/>
        <color theme="1"/>
        <rFont val="Calibri"/>
        <family val="2"/>
      </rPr>
      <t xml:space="preserve"> </t>
    </r>
    <r>
      <rPr>
        <sz val="9"/>
        <color theme="1"/>
        <rFont val="맑은 고딕"/>
        <family val="2"/>
      </rPr>
      <t>작업이</t>
    </r>
    <r>
      <rPr>
        <sz val="9"/>
        <color theme="1"/>
        <rFont val="Calibri"/>
        <family val="2"/>
      </rPr>
      <t xml:space="preserve"> </t>
    </r>
    <r>
      <rPr>
        <sz val="9"/>
        <color theme="1"/>
        <rFont val="맑은 고딕"/>
        <family val="2"/>
      </rPr>
      <t>중단되었습니다</t>
    </r>
    <r>
      <rPr>
        <sz val="9"/>
        <color theme="1"/>
        <rFont val="Calibri"/>
        <family val="2"/>
      </rPr>
      <t>.</t>
    </r>
  </si>
  <si>
    <r>
      <rPr>
        <sz val="9"/>
        <color theme="1"/>
        <rFont val="맑은 고딕"/>
        <family val="2"/>
      </rPr>
      <t>입력한</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기간의</t>
    </r>
    <r>
      <rPr>
        <sz val="9"/>
        <color theme="1"/>
        <rFont val="Calibri"/>
        <family val="2"/>
      </rPr>
      <t xml:space="preserve"> </t>
    </r>
    <r>
      <rPr>
        <sz val="9"/>
        <color theme="1"/>
        <rFont val="맑은 고딕"/>
        <family val="2"/>
      </rPr>
      <t>완료일</t>
    </r>
    <r>
      <rPr>
        <sz val="9"/>
        <color theme="1"/>
        <rFont val="Calibri"/>
        <family val="2"/>
      </rPr>
      <t>({})</t>
    </r>
    <r>
      <rPr>
        <sz val="9"/>
        <color theme="1"/>
        <rFont val="맑은 고딕"/>
        <family val="2"/>
      </rPr>
      <t>이</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아닙니다</t>
    </r>
    <r>
      <rPr>
        <sz val="9"/>
        <color theme="1"/>
        <rFont val="Calibri"/>
        <family val="2"/>
      </rPr>
      <t>.</t>
    </r>
  </si>
  <si>
    <r>
      <rPr>
        <sz val="9"/>
        <color theme="1"/>
        <rFont val="맑은 고딕"/>
        <family val="2"/>
      </rPr>
      <t>입력한</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기간의</t>
    </r>
    <r>
      <rPr>
        <sz val="9"/>
        <color theme="1"/>
        <rFont val="Calibri"/>
        <family val="2"/>
      </rPr>
      <t xml:space="preserve"> </t>
    </r>
    <r>
      <rPr>
        <sz val="9"/>
        <color theme="1"/>
        <rFont val="맑은 고딕"/>
        <family val="2"/>
      </rPr>
      <t>시작일</t>
    </r>
    <r>
      <rPr>
        <sz val="9"/>
        <color theme="1"/>
        <rFont val="Calibri"/>
        <family val="2"/>
      </rPr>
      <t>({})</t>
    </r>
    <r>
      <rPr>
        <sz val="9"/>
        <color theme="1"/>
        <rFont val="맑은 고딕"/>
        <family val="2"/>
      </rPr>
      <t>이</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아닙니다</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</si>
  <si>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시작일이</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아닙니다</t>
    </r>
    <r>
      <rPr>
        <sz val="9"/>
        <color theme="1"/>
        <rFont val="Calibri"/>
        <family val="2"/>
      </rPr>
      <t xml:space="preserve">. </t>
    </r>
    <r>
      <rPr>
        <sz val="9"/>
        <color theme="1"/>
        <rFont val="맑은 고딕"/>
        <family val="2"/>
      </rPr>
      <t>정확한</t>
    </r>
    <r>
      <rPr>
        <sz val="9"/>
        <color theme="1"/>
        <rFont val="Calibri"/>
        <family val="2"/>
      </rPr>
      <t xml:space="preserve"> </t>
    </r>
    <r>
      <rPr>
        <sz val="9"/>
        <color theme="1"/>
        <rFont val="맑은 고딕"/>
        <family val="2"/>
      </rPr>
      <t>날짜형식으로</t>
    </r>
    <r>
      <rPr>
        <sz val="9"/>
        <color theme="1"/>
        <rFont val="Calibri"/>
        <family val="2"/>
      </rPr>
      <t xml:space="preserve"> </t>
    </r>
    <r>
      <rPr>
        <sz val="9"/>
        <color theme="1"/>
        <rFont val="맑은 고딕"/>
        <family val="2"/>
      </rPr>
      <t>입력하세요</t>
    </r>
    <r>
      <rPr>
        <sz val="9"/>
        <color theme="1"/>
        <rFont val="Calibri"/>
        <family val="2"/>
      </rPr>
      <t>.</t>
    </r>
  </si>
  <si>
    <r>
      <rPr>
        <sz val="9"/>
        <color theme="1"/>
        <rFont val="맑은 고딕"/>
        <family val="2"/>
      </rPr>
      <t>시작일이</t>
    </r>
    <r>
      <rPr>
        <sz val="9"/>
        <color theme="1"/>
        <rFont val="Calibri"/>
        <family val="2"/>
      </rPr>
      <t xml:space="preserve"> </t>
    </r>
    <r>
      <rPr>
        <sz val="9"/>
        <color theme="1"/>
        <rFont val="맑은 고딕"/>
        <family val="2"/>
      </rPr>
      <t>완료일보다</t>
    </r>
    <r>
      <rPr>
        <sz val="9"/>
        <color theme="1"/>
        <rFont val="Calibri"/>
        <family val="2"/>
      </rPr>
      <t xml:space="preserve"> </t>
    </r>
    <r>
      <rPr>
        <sz val="9"/>
        <color theme="1"/>
        <rFont val="맑은 고딕"/>
        <family val="2"/>
      </rPr>
      <t>큽니다</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</si>
  <si>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시작일이</t>
    </r>
    <r>
      <rPr>
        <sz val="9"/>
        <color theme="1"/>
        <rFont val="Calibri"/>
        <family val="2"/>
      </rPr>
      <t xml:space="preserve"> </t>
    </r>
    <r>
      <rPr>
        <sz val="9"/>
        <color theme="1"/>
        <rFont val="맑은 고딕"/>
        <family val="2"/>
      </rPr>
      <t>완료일보다</t>
    </r>
    <r>
      <rPr>
        <sz val="9"/>
        <color theme="1"/>
        <rFont val="Calibri"/>
        <family val="2"/>
      </rPr>
      <t xml:space="preserve"> </t>
    </r>
    <r>
      <rPr>
        <sz val="9"/>
        <color theme="1"/>
        <rFont val="맑은 고딕"/>
        <family val="2"/>
      </rPr>
      <t>큽니다</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</si>
  <si>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시작일</t>
    </r>
    <r>
      <rPr>
        <sz val="9"/>
        <color theme="1"/>
        <rFont val="Calibri"/>
        <family val="2"/>
      </rPr>
      <t xml:space="preserve"> </t>
    </r>
    <r>
      <rPr>
        <sz val="9"/>
        <color theme="1"/>
        <rFont val="맑은 고딕"/>
        <family val="2"/>
      </rPr>
      <t>또는</t>
    </r>
    <r>
      <rPr>
        <sz val="9"/>
        <color theme="1"/>
        <rFont val="Calibri"/>
        <family val="2"/>
      </rPr>
      <t xml:space="preserve"> </t>
    </r>
    <r>
      <rPr>
        <sz val="9"/>
        <color theme="1"/>
        <rFont val="맑은 고딕"/>
        <family val="2"/>
      </rPr>
      <t>완료일이</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기간을</t>
    </r>
    <r>
      <rPr>
        <sz val="9"/>
        <color theme="1"/>
        <rFont val="Calibri"/>
        <family val="2"/>
      </rPr>
      <t xml:space="preserve"> </t>
    </r>
    <r>
      <rPr>
        <sz val="9"/>
        <color theme="1"/>
        <rFont val="맑은 고딕"/>
        <family val="2"/>
      </rPr>
      <t>벗어났습니다</t>
    </r>
    <r>
      <rPr>
        <sz val="9"/>
        <color theme="1"/>
        <rFont val="Calibri"/>
        <family val="2"/>
      </rPr>
      <t>.</t>
    </r>
  </si>
  <si>
    <r>
      <t xml:space="preserve">{} sheet </t>
    </r>
    <r>
      <rPr>
        <sz val="9"/>
        <color theme="1"/>
        <rFont val="맑은 고딕"/>
        <family val="2"/>
      </rPr>
      <t>첫행의</t>
    </r>
    <r>
      <rPr>
        <sz val="9"/>
        <color theme="1"/>
        <rFont val="Calibri"/>
        <family val="2"/>
      </rPr>
      <t xml:space="preserve"> </t>
    </r>
    <r>
      <rPr>
        <sz val="9"/>
        <color theme="1"/>
        <rFont val="맑은 고딕"/>
        <family val="2"/>
      </rPr>
      <t>작업이</t>
    </r>
    <r>
      <rPr>
        <sz val="9"/>
        <color theme="1"/>
        <rFont val="Calibri"/>
        <family val="2"/>
      </rPr>
      <t xml:space="preserve"> 1 Level</t>
    </r>
    <r>
      <rPr>
        <sz val="9"/>
        <color theme="1"/>
        <rFont val="맑은 고딕"/>
        <family val="2"/>
      </rPr>
      <t>이</t>
    </r>
    <r>
      <rPr>
        <sz val="9"/>
        <color theme="1"/>
        <rFont val="Calibri"/>
        <family val="2"/>
      </rPr>
      <t xml:space="preserve"> </t>
    </r>
    <r>
      <rPr>
        <sz val="9"/>
        <color theme="1"/>
        <rFont val="맑은 고딕"/>
        <family val="2"/>
      </rPr>
      <t>아닙니다</t>
    </r>
    <r>
      <rPr>
        <sz val="9"/>
        <color theme="1"/>
        <rFont val="Calibri"/>
        <family val="2"/>
      </rPr>
      <t xml:space="preserve">. </t>
    </r>
    <r>
      <rPr>
        <sz val="9"/>
        <color theme="1"/>
        <rFont val="맑은 고딕"/>
        <family val="2"/>
      </rPr>
      <t>첫행의</t>
    </r>
    <r>
      <rPr>
        <sz val="9"/>
        <color theme="1"/>
        <rFont val="Calibri"/>
        <family val="2"/>
      </rPr>
      <t xml:space="preserve"> </t>
    </r>
    <r>
      <rPr>
        <sz val="9"/>
        <color theme="1"/>
        <rFont val="맑은 고딕"/>
        <family val="2"/>
      </rPr>
      <t>작업이</t>
    </r>
    <r>
      <rPr>
        <sz val="9"/>
        <color theme="1"/>
        <rFont val="Calibri"/>
        <family val="2"/>
      </rPr>
      <t xml:space="preserve"> </t>
    </r>
    <r>
      <rPr>
        <sz val="9"/>
        <color theme="1"/>
        <rFont val="맑은 고딕"/>
        <family val="2"/>
      </rPr>
      <t>첫째칸이</t>
    </r>
    <r>
      <rPr>
        <sz val="9"/>
        <color theme="1"/>
        <rFont val="Calibri"/>
        <family val="2"/>
      </rPr>
      <t xml:space="preserve"> </t>
    </r>
    <r>
      <rPr>
        <sz val="9"/>
        <color theme="1"/>
        <rFont val="맑은 고딕"/>
        <family val="2"/>
      </rPr>
      <t>아닌</t>
    </r>
    <r>
      <rPr>
        <sz val="9"/>
        <color theme="1"/>
        <rFont val="Calibri"/>
        <family val="2"/>
      </rPr>
      <t xml:space="preserve"> </t>
    </r>
    <r>
      <rPr>
        <sz val="9"/>
        <color theme="1"/>
        <rFont val="맑은 고딕"/>
        <family val="2"/>
      </rPr>
      <t>다른</t>
    </r>
    <r>
      <rPr>
        <sz val="9"/>
        <color theme="1"/>
        <rFont val="Calibri"/>
        <family val="2"/>
      </rPr>
      <t xml:space="preserve"> </t>
    </r>
    <r>
      <rPr>
        <sz val="9"/>
        <color theme="1"/>
        <rFont val="맑은 고딕"/>
        <family val="2"/>
      </rPr>
      <t>칸에</t>
    </r>
    <r>
      <rPr>
        <sz val="9"/>
        <color theme="1"/>
        <rFont val="Calibri"/>
        <family val="2"/>
      </rPr>
      <t xml:space="preserve"> </t>
    </r>
    <r>
      <rPr>
        <sz val="9"/>
        <color theme="1"/>
        <rFont val="맑은 고딕"/>
        <family val="2"/>
      </rPr>
      <t>입력되었는지</t>
    </r>
    <r>
      <rPr>
        <sz val="9"/>
        <color theme="1"/>
        <rFont val="Calibri"/>
        <family val="2"/>
      </rPr>
      <t xml:space="preserve"> </t>
    </r>
    <r>
      <rPr>
        <sz val="9"/>
        <color theme="1"/>
        <rFont val="맑은 고딕"/>
        <family val="2"/>
      </rPr>
      <t>확인하세요</t>
    </r>
    <r>
      <rPr>
        <sz val="9"/>
        <color theme="1"/>
        <rFont val="Calibri"/>
        <family val="2"/>
      </rPr>
      <t>.</t>
    </r>
  </si>
  <si>
    <r>
      <t>Task</t>
    </r>
    <r>
      <rPr>
        <sz val="9"/>
        <color theme="1"/>
        <rFont val="맑은 고딕"/>
        <family val="2"/>
      </rPr>
      <t>필드</t>
    </r>
    <r>
      <rPr>
        <sz val="9"/>
        <color theme="1"/>
        <rFont val="Calibri"/>
        <family val="2"/>
      </rPr>
      <t xml:space="preserve"> </t>
    </r>
    <r>
      <rPr>
        <sz val="9"/>
        <color theme="1"/>
        <rFont val="맑은 고딕"/>
        <family val="2"/>
      </rPr>
      <t>유형</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</si>
  <si>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가중치가</t>
    </r>
    <r>
      <rPr>
        <sz val="9"/>
        <color theme="1"/>
        <rFont val="Calibri"/>
        <family val="2"/>
      </rPr>
      <t xml:space="preserve"> </t>
    </r>
    <r>
      <rPr>
        <sz val="9"/>
        <color theme="1"/>
        <rFont val="맑은 고딕"/>
        <family val="2"/>
      </rPr>
      <t>숫자가</t>
    </r>
    <r>
      <rPr>
        <sz val="9"/>
        <color theme="1"/>
        <rFont val="Calibri"/>
        <family val="2"/>
      </rPr>
      <t xml:space="preserve"> </t>
    </r>
    <r>
      <rPr>
        <sz val="9"/>
        <color theme="1"/>
        <rFont val="맑은 고딕"/>
        <family val="2"/>
      </rPr>
      <t>아닙니다</t>
    </r>
    <r>
      <rPr>
        <sz val="9"/>
        <color theme="1"/>
        <rFont val="Calibri"/>
        <family val="2"/>
      </rPr>
      <t>.</t>
    </r>
  </si>
  <si>
    <r>
      <rPr>
        <sz val="9"/>
        <color theme="1"/>
        <rFont val="맑은 고딕"/>
        <family val="2"/>
      </rPr>
      <t>입력한</t>
    </r>
    <r>
      <rPr>
        <sz val="9"/>
        <color theme="1"/>
        <rFont val="Calibri"/>
        <family val="2"/>
      </rPr>
      <t xml:space="preserve"> </t>
    </r>
    <r>
      <rPr>
        <sz val="9"/>
        <color theme="1"/>
        <rFont val="맑은 고딕"/>
        <family val="2"/>
      </rPr>
      <t>산출물을</t>
    </r>
    <r>
      <rPr>
        <sz val="9"/>
        <color theme="1"/>
        <rFont val="Calibri"/>
        <family val="2"/>
      </rPr>
      <t xml:space="preserve"> </t>
    </r>
    <r>
      <rPr>
        <sz val="9"/>
        <color theme="1"/>
        <rFont val="맑은 고딕"/>
        <family val="2"/>
      </rPr>
      <t>열</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있는</t>
    </r>
    <r>
      <rPr>
        <sz val="9"/>
        <color theme="1"/>
        <rFont val="Calibri"/>
        <family val="2"/>
      </rPr>
      <t xml:space="preserve"> </t>
    </r>
    <r>
      <rPr>
        <sz val="9"/>
        <color theme="1"/>
        <rFont val="맑은 고딕"/>
        <family val="2"/>
      </rPr>
      <t>실행프로그램이</t>
    </r>
    <r>
      <rPr>
        <sz val="9"/>
        <color theme="1"/>
        <rFont val="Calibri"/>
        <family val="2"/>
      </rPr>
      <t xml:space="preserve"> </t>
    </r>
    <r>
      <rPr>
        <sz val="9"/>
        <color theme="1"/>
        <rFont val="맑은 고딕"/>
        <family val="2"/>
      </rPr>
      <t>없습니다</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</si>
  <si>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총작업량</t>
    </r>
    <r>
      <rPr>
        <sz val="9"/>
        <color theme="1"/>
        <rFont val="Calibri"/>
        <family val="2"/>
      </rPr>
      <t xml:space="preserve"> </t>
    </r>
    <r>
      <rPr>
        <sz val="9"/>
        <color theme="1"/>
        <rFont val="맑은 고딕"/>
        <family val="2"/>
      </rPr>
      <t>또는계획작업량</t>
    </r>
    <r>
      <rPr>
        <sz val="9"/>
        <color theme="1"/>
        <rFont val="Calibri"/>
        <family val="2"/>
      </rPr>
      <t xml:space="preserve"> </t>
    </r>
    <r>
      <rPr>
        <sz val="9"/>
        <color theme="1"/>
        <rFont val="맑은 고딕"/>
        <family val="2"/>
      </rPr>
      <t>필드에</t>
    </r>
    <r>
      <rPr>
        <sz val="9"/>
        <color theme="1"/>
        <rFont val="Calibri"/>
        <family val="2"/>
      </rPr>
      <t xml:space="preserve"> </t>
    </r>
    <r>
      <rPr>
        <sz val="9"/>
        <color theme="1"/>
        <rFont val="맑은 고딕"/>
        <family val="2"/>
      </rPr>
      <t>오류가</t>
    </r>
    <r>
      <rPr>
        <sz val="9"/>
        <color theme="1"/>
        <rFont val="Calibri"/>
        <family val="2"/>
      </rPr>
      <t xml:space="preserve"> </t>
    </r>
    <r>
      <rPr>
        <sz val="9"/>
        <color theme="1"/>
        <rFont val="맑은 고딕"/>
        <family val="2"/>
      </rPr>
      <t>있습니다</t>
    </r>
    <r>
      <rPr>
        <sz val="9"/>
        <color theme="1"/>
        <rFont val="Calibri"/>
        <family val="2"/>
      </rPr>
      <t xml:space="preserve">. </t>
    </r>
    <r>
      <rPr>
        <sz val="9"/>
        <color theme="1"/>
        <rFont val="맑은 고딕"/>
        <family val="2"/>
      </rPr>
      <t>시작일</t>
    </r>
    <r>
      <rPr>
        <sz val="9"/>
        <color theme="1"/>
        <rFont val="Calibri"/>
        <family val="2"/>
      </rPr>
      <t>/</t>
    </r>
    <r>
      <rPr>
        <sz val="9"/>
        <color theme="1"/>
        <rFont val="맑은 고딕"/>
        <family val="2"/>
      </rPr>
      <t>완료일이</t>
    </r>
    <r>
      <rPr>
        <sz val="9"/>
        <color theme="1"/>
        <rFont val="Calibri"/>
        <family val="2"/>
      </rPr>
      <t xml:space="preserve"> </t>
    </r>
    <r>
      <rPr>
        <sz val="9"/>
        <color theme="1"/>
        <rFont val="맑은 고딕"/>
        <family val="2"/>
      </rPr>
      <t>잘못</t>
    </r>
    <r>
      <rPr>
        <sz val="9"/>
        <color theme="1"/>
        <rFont val="Calibri"/>
        <family val="2"/>
      </rPr>
      <t xml:space="preserve"> </t>
    </r>
    <r>
      <rPr>
        <sz val="9"/>
        <color theme="1"/>
        <rFont val="맑은 고딕"/>
        <family val="2"/>
      </rPr>
      <t>입력되었는지</t>
    </r>
    <r>
      <rPr>
        <sz val="9"/>
        <color theme="1"/>
        <rFont val="Calibri"/>
        <family val="2"/>
      </rPr>
      <t xml:space="preserve"> </t>
    </r>
    <r>
      <rPr>
        <sz val="9"/>
        <color theme="1"/>
        <rFont val="맑은 고딕"/>
        <family val="2"/>
      </rPr>
      <t>또는</t>
    </r>
    <r>
      <rPr>
        <sz val="9"/>
        <color theme="1"/>
        <rFont val="Calibri"/>
        <family val="2"/>
      </rPr>
      <t xml:space="preserve"> </t>
    </r>
    <r>
      <rPr>
        <sz val="9"/>
        <color theme="1"/>
        <rFont val="맑은 고딕"/>
        <family val="2"/>
      </rPr>
      <t>수식에</t>
    </r>
    <r>
      <rPr>
        <sz val="9"/>
        <color theme="1"/>
        <rFont val="Calibri"/>
        <family val="2"/>
      </rPr>
      <t xml:space="preserve"> </t>
    </r>
    <r>
      <rPr>
        <sz val="9"/>
        <color theme="1"/>
        <rFont val="맑은 고딕"/>
        <family val="2"/>
      </rPr>
      <t>문제가</t>
    </r>
    <r>
      <rPr>
        <sz val="9"/>
        <color theme="1"/>
        <rFont val="Calibri"/>
        <family val="2"/>
      </rPr>
      <t xml:space="preserve"> </t>
    </r>
    <r>
      <rPr>
        <sz val="9"/>
        <color theme="1"/>
        <rFont val="맑은 고딕"/>
        <family val="2"/>
      </rPr>
      <t>없는지</t>
    </r>
    <r>
      <rPr>
        <sz val="9"/>
        <color theme="1"/>
        <rFont val="Calibri"/>
        <family val="2"/>
      </rPr>
      <t xml:space="preserve"> </t>
    </r>
    <r>
      <rPr>
        <sz val="9"/>
        <color theme="1"/>
        <rFont val="맑은 고딕"/>
        <family val="2"/>
      </rPr>
      <t>확인하세요</t>
    </r>
    <r>
      <rPr>
        <sz val="9"/>
        <color theme="1"/>
        <rFont val="Calibri"/>
        <family val="2"/>
      </rPr>
      <t>.</t>
    </r>
  </si>
  <si>
    <r>
      <rPr>
        <sz val="9"/>
        <color theme="1"/>
        <rFont val="맑은 고딕"/>
        <family val="2"/>
      </rPr>
      <t>다음</t>
    </r>
    <r>
      <rPr>
        <sz val="9"/>
        <color theme="1"/>
        <rFont val="Calibri"/>
        <family val="2"/>
      </rPr>
      <t xml:space="preserve"> </t>
    </r>
    <r>
      <rPr>
        <sz val="9"/>
        <color theme="1"/>
        <rFont val="맑은 고딕"/>
        <family val="2"/>
      </rPr>
      <t>파일에</t>
    </r>
    <r>
      <rPr>
        <sz val="9"/>
        <color theme="1"/>
        <rFont val="Calibri"/>
        <family val="2"/>
      </rPr>
      <t xml:space="preserve"> </t>
    </r>
    <r>
      <rPr>
        <sz val="9"/>
        <color theme="1"/>
        <rFont val="맑은 고딕"/>
        <family val="2"/>
      </rPr>
      <t>자료가</t>
    </r>
    <r>
      <rPr>
        <sz val="9"/>
        <color theme="1"/>
        <rFont val="Calibri"/>
        <family val="2"/>
      </rPr>
      <t xml:space="preserve"> </t>
    </r>
    <r>
      <rPr>
        <sz val="9"/>
        <color theme="1"/>
        <rFont val="맑은 고딕"/>
        <family val="2"/>
      </rPr>
      <t>없습니다</t>
    </r>
    <r>
      <rPr>
        <sz val="9"/>
        <color theme="1"/>
        <rFont val="Calibri"/>
        <family val="2"/>
      </rPr>
      <t>.</t>
    </r>
  </si>
  <si>
    <r>
      <rPr>
        <sz val="9"/>
        <color theme="1"/>
        <rFont val="맑은 고딕"/>
        <family val="2"/>
      </rPr>
      <t>입력된</t>
    </r>
    <r>
      <rPr>
        <sz val="9"/>
        <color theme="1"/>
        <rFont val="Calibri"/>
        <family val="2"/>
      </rPr>
      <t xml:space="preserve"> </t>
    </r>
    <r>
      <rPr>
        <sz val="9"/>
        <color theme="1"/>
        <rFont val="맑은 고딕"/>
        <family val="2"/>
      </rPr>
      <t>자료가</t>
    </r>
    <r>
      <rPr>
        <sz val="9"/>
        <color theme="1"/>
        <rFont val="Calibri"/>
        <family val="2"/>
      </rPr>
      <t xml:space="preserve"> </t>
    </r>
    <r>
      <rPr>
        <sz val="9"/>
        <color theme="1"/>
        <rFont val="맑은 고딕"/>
        <family val="2"/>
      </rPr>
      <t>없습니다</t>
    </r>
  </si>
  <si>
    <r>
      <rPr>
        <sz val="9"/>
        <color theme="1"/>
        <rFont val="맑은 고딕"/>
        <family val="2"/>
      </rPr>
      <t>계산할</t>
    </r>
    <r>
      <rPr>
        <sz val="9"/>
        <color theme="1"/>
        <rFont val="Calibri"/>
        <family val="2"/>
      </rPr>
      <t xml:space="preserve"> </t>
    </r>
    <r>
      <rPr>
        <sz val="9"/>
        <color theme="1"/>
        <rFont val="맑은 고딕"/>
        <family val="2"/>
      </rPr>
      <t>입력자료가</t>
    </r>
    <r>
      <rPr>
        <sz val="9"/>
        <color theme="1"/>
        <rFont val="Calibri"/>
        <family val="2"/>
      </rPr>
      <t xml:space="preserve"> </t>
    </r>
    <r>
      <rPr>
        <sz val="9"/>
        <color theme="1"/>
        <rFont val="맑은 고딕"/>
        <family val="2"/>
      </rPr>
      <t>없습니다</t>
    </r>
    <r>
      <rPr>
        <sz val="9"/>
        <color theme="1"/>
        <rFont val="Calibri"/>
        <family val="2"/>
      </rPr>
      <t>.</t>
    </r>
  </si>
  <si>
    <r>
      <rPr>
        <sz val="9"/>
        <color theme="1"/>
        <rFont val="맑은 고딕"/>
        <family val="2"/>
      </rPr>
      <t>입력된</t>
    </r>
    <r>
      <rPr>
        <sz val="9"/>
        <color theme="1"/>
        <rFont val="Calibri"/>
        <family val="2"/>
      </rPr>
      <t xml:space="preserve"> </t>
    </r>
    <r>
      <rPr>
        <sz val="9"/>
        <color theme="1"/>
        <rFont val="맑은 고딕"/>
        <family val="2"/>
      </rPr>
      <t>자료가</t>
    </r>
    <r>
      <rPr>
        <sz val="9"/>
        <color theme="1"/>
        <rFont val="Calibri"/>
        <family val="2"/>
      </rPr>
      <t xml:space="preserve"> </t>
    </r>
    <r>
      <rPr>
        <sz val="9"/>
        <color theme="1"/>
        <rFont val="맑은 고딕"/>
        <family val="2"/>
      </rPr>
      <t>없습니다</t>
    </r>
    <r>
      <rPr>
        <sz val="9"/>
        <color theme="1"/>
        <rFont val="Calibri"/>
        <family val="2"/>
      </rPr>
      <t>.</t>
    </r>
  </si>
  <si>
    <r>
      <rPr>
        <sz val="9"/>
        <color theme="1"/>
        <rFont val="맑은 고딕"/>
        <family val="2"/>
      </rPr>
      <t>입력된</t>
    </r>
    <r>
      <rPr>
        <sz val="9"/>
        <color theme="1"/>
        <rFont val="Calibri"/>
        <family val="2"/>
      </rPr>
      <t xml:space="preserve"> </t>
    </r>
    <r>
      <rPr>
        <sz val="9"/>
        <color theme="1"/>
        <rFont val="맑은 고딕"/>
        <family val="2"/>
      </rPr>
      <t>자료가</t>
    </r>
    <r>
      <rPr>
        <sz val="9"/>
        <color theme="1"/>
        <rFont val="Calibri"/>
        <family val="2"/>
      </rPr>
      <t xml:space="preserve"> </t>
    </r>
    <r>
      <rPr>
        <sz val="9"/>
        <color theme="1"/>
        <rFont val="맑은 고딕"/>
        <family val="2"/>
      </rPr>
      <t>없습니다</t>
    </r>
    <r>
      <rPr>
        <sz val="9"/>
        <color theme="1"/>
        <rFont val="Calibri"/>
        <family val="2"/>
      </rPr>
      <t xml:space="preserve">. </t>
    </r>
    <r>
      <rPr>
        <sz val="9"/>
        <color theme="1"/>
        <rFont val="맑은 고딕"/>
        <family val="2"/>
      </rPr>
      <t>입력</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서식재설정</t>
    </r>
    <r>
      <rPr>
        <sz val="9"/>
        <color theme="1"/>
        <rFont val="Calibri"/>
        <family val="2"/>
      </rPr>
      <t xml:space="preserve"> </t>
    </r>
    <r>
      <rPr>
        <sz val="9"/>
        <color theme="1"/>
        <rFont val="맑은 고딕"/>
        <family val="2"/>
      </rPr>
      <t>해</t>
    </r>
    <r>
      <rPr>
        <sz val="9"/>
        <color theme="1"/>
        <rFont val="Calibri"/>
        <family val="2"/>
      </rPr>
      <t xml:space="preserve"> </t>
    </r>
    <r>
      <rPr>
        <sz val="9"/>
        <color theme="1"/>
        <rFont val="맑은 고딕"/>
        <family val="2"/>
      </rPr>
      <t>주세요</t>
    </r>
    <r>
      <rPr>
        <sz val="9"/>
        <color theme="1"/>
        <rFont val="Calibri"/>
        <family val="2"/>
      </rPr>
      <t>.</t>
    </r>
  </si>
  <si>
    <r>
      <rPr>
        <sz val="9"/>
        <color theme="1"/>
        <rFont val="맑은 고딕"/>
        <family val="2"/>
      </rPr>
      <t>진척율선</t>
    </r>
    <r>
      <rPr>
        <sz val="9"/>
        <color theme="1"/>
        <rFont val="Calibri"/>
        <family val="2"/>
      </rPr>
      <t xml:space="preserve"> </t>
    </r>
    <r>
      <rPr>
        <sz val="9"/>
        <color theme="1"/>
        <rFont val="맑은 고딕"/>
        <family val="2"/>
      </rPr>
      <t>그리기</t>
    </r>
    <r>
      <rPr>
        <sz val="9"/>
        <color theme="1"/>
        <rFont val="Calibri"/>
        <family val="2"/>
      </rPr>
      <t xml:space="preserve"> </t>
    </r>
    <r>
      <rPr>
        <sz val="9"/>
        <color theme="1"/>
        <rFont val="맑은 고딕"/>
        <family val="2"/>
      </rPr>
      <t>작업</t>
    </r>
    <r>
      <rPr>
        <sz val="9"/>
        <color theme="1"/>
        <rFont val="Calibri"/>
        <family val="2"/>
      </rPr>
      <t xml:space="preserve"> </t>
    </r>
    <r>
      <rPr>
        <sz val="9"/>
        <color theme="1"/>
        <rFont val="맑은 고딕"/>
        <family val="2"/>
      </rPr>
      <t>중</t>
    </r>
    <r>
      <rPr>
        <sz val="9"/>
        <color theme="1"/>
        <rFont val="Calibri"/>
        <family val="2"/>
      </rPr>
      <t xml:space="preserve"> </t>
    </r>
    <r>
      <rPr>
        <sz val="9"/>
        <color theme="1"/>
        <rFont val="맑은 고딕"/>
        <family val="2"/>
      </rPr>
      <t>에러가</t>
    </r>
    <r>
      <rPr>
        <sz val="9"/>
        <color theme="1"/>
        <rFont val="Calibri"/>
        <family val="2"/>
      </rPr>
      <t xml:space="preserve"> </t>
    </r>
    <r>
      <rPr>
        <sz val="9"/>
        <color theme="1"/>
        <rFont val="맑은 고딕"/>
        <family val="2"/>
      </rPr>
      <t>발생했습니다</t>
    </r>
    <r>
      <rPr>
        <sz val="9"/>
        <color theme="1"/>
        <rFont val="Calibri"/>
        <family val="2"/>
      </rPr>
      <t xml:space="preserve">. </t>
    </r>
    <r>
      <rPr>
        <sz val="9"/>
        <color theme="1"/>
        <rFont val="맑은 고딕"/>
        <family val="2"/>
      </rPr>
      <t>실제시작일</t>
    </r>
    <r>
      <rPr>
        <sz val="9"/>
        <color theme="1"/>
        <rFont val="Calibri"/>
        <family val="2"/>
      </rPr>
      <t xml:space="preserve"> </t>
    </r>
    <r>
      <rPr>
        <sz val="9"/>
        <color theme="1"/>
        <rFont val="맑은 고딕"/>
        <family val="2"/>
      </rPr>
      <t>또는</t>
    </r>
    <r>
      <rPr>
        <sz val="9"/>
        <color theme="1"/>
        <rFont val="Calibri"/>
        <family val="2"/>
      </rPr>
      <t xml:space="preserve"> </t>
    </r>
    <r>
      <rPr>
        <sz val="9"/>
        <color theme="1"/>
        <rFont val="맑은 고딕"/>
        <family val="2"/>
      </rPr>
      <t>실제완료일이</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기간을</t>
    </r>
    <r>
      <rPr>
        <sz val="9"/>
        <color theme="1"/>
        <rFont val="Calibri"/>
        <family val="2"/>
      </rPr>
      <t xml:space="preserve"> </t>
    </r>
    <r>
      <rPr>
        <sz val="9"/>
        <color theme="1"/>
        <rFont val="맑은 고딕"/>
        <family val="2"/>
      </rPr>
      <t>벗어난</t>
    </r>
    <r>
      <rPr>
        <sz val="9"/>
        <color theme="1"/>
        <rFont val="Calibri"/>
        <family val="2"/>
      </rPr>
      <t xml:space="preserve"> </t>
    </r>
    <r>
      <rPr>
        <sz val="9"/>
        <color theme="1"/>
        <rFont val="맑은 고딕"/>
        <family val="2"/>
      </rPr>
      <t>경우에</t>
    </r>
    <r>
      <rPr>
        <sz val="9"/>
        <color theme="1"/>
        <rFont val="Calibri"/>
        <family val="2"/>
      </rPr>
      <t xml:space="preserve"> </t>
    </r>
    <r>
      <rPr>
        <sz val="9"/>
        <color theme="1"/>
        <rFont val="맑은 고딕"/>
        <family val="2"/>
      </rPr>
      <t>발생할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 xml:space="preserve">. </t>
    </r>
    <r>
      <rPr>
        <sz val="9"/>
        <color theme="1"/>
        <rFont val="맑은 고딕"/>
        <family val="2"/>
      </rPr>
      <t>아래의</t>
    </r>
    <r>
      <rPr>
        <sz val="9"/>
        <color theme="1"/>
        <rFont val="Calibri"/>
        <family val="2"/>
      </rPr>
      <t xml:space="preserve"> </t>
    </r>
    <r>
      <rPr>
        <sz val="9"/>
        <color theme="1"/>
        <rFont val="맑은 고딕"/>
        <family val="2"/>
      </rPr>
      <t>메시지를</t>
    </r>
    <r>
      <rPr>
        <sz val="9"/>
        <color theme="1"/>
        <rFont val="Calibri"/>
        <family val="2"/>
      </rPr>
      <t xml:space="preserve"> </t>
    </r>
    <r>
      <rPr>
        <sz val="9"/>
        <color theme="1"/>
        <rFont val="맑은 고딕"/>
        <family val="2"/>
      </rPr>
      <t>확인하십시오</t>
    </r>
    <r>
      <rPr>
        <sz val="9"/>
        <color theme="1"/>
        <rFont val="Calibri"/>
        <family val="2"/>
      </rPr>
      <t>.</t>
    </r>
  </si>
  <si>
    <r>
      <rPr>
        <sz val="9"/>
        <color theme="1"/>
        <rFont val="맑은 고딕"/>
        <family val="2"/>
      </rPr>
      <t>선택할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없는</t>
    </r>
    <r>
      <rPr>
        <sz val="9"/>
        <color theme="1"/>
        <rFont val="Calibri"/>
        <family val="2"/>
      </rPr>
      <t xml:space="preserve"> </t>
    </r>
    <r>
      <rPr>
        <sz val="9"/>
        <color theme="1"/>
        <rFont val="맑은 고딕"/>
        <family val="2"/>
      </rPr>
      <t>영역입니다</t>
    </r>
    <r>
      <rPr>
        <sz val="9"/>
        <color theme="1"/>
        <rFont val="Calibri"/>
        <family val="2"/>
      </rPr>
      <t xml:space="preserve">. </t>
    </r>
    <r>
      <rPr>
        <sz val="9"/>
        <color theme="1"/>
        <rFont val="맑은 고딕"/>
        <family val="2"/>
      </rPr>
      <t>작업명이</t>
    </r>
    <r>
      <rPr>
        <sz val="9"/>
        <color theme="1"/>
        <rFont val="Calibri"/>
        <family val="2"/>
      </rPr>
      <t xml:space="preserve"> </t>
    </r>
    <r>
      <rPr>
        <sz val="9"/>
        <color theme="1"/>
        <rFont val="맑은 고딕"/>
        <family val="2"/>
      </rPr>
      <t>입력된</t>
    </r>
    <r>
      <rPr>
        <sz val="9"/>
        <color theme="1"/>
        <rFont val="Calibri"/>
        <family val="2"/>
      </rPr>
      <t xml:space="preserve"> </t>
    </r>
    <r>
      <rPr>
        <sz val="9"/>
        <color theme="1"/>
        <rFont val="맑은 고딕"/>
        <family val="2"/>
      </rPr>
      <t>행을</t>
    </r>
    <r>
      <rPr>
        <sz val="9"/>
        <color theme="1"/>
        <rFont val="Calibri"/>
        <family val="2"/>
      </rPr>
      <t xml:space="preserve"> </t>
    </r>
    <r>
      <rPr>
        <sz val="9"/>
        <color theme="1"/>
        <rFont val="맑은 고딕"/>
        <family val="2"/>
      </rPr>
      <t>선택하세요</t>
    </r>
    <r>
      <rPr>
        <sz val="9"/>
        <color theme="1"/>
        <rFont val="Calibri"/>
        <family val="2"/>
      </rPr>
      <t>.</t>
    </r>
  </si>
  <si>
    <r>
      <rPr>
        <sz val="9"/>
        <color theme="1"/>
        <rFont val="맑은 고딕"/>
        <family val="2"/>
      </rPr>
      <t>이번</t>
    </r>
    <r>
      <rPr>
        <sz val="9"/>
        <color theme="1"/>
        <rFont val="Calibri"/>
        <family val="2"/>
      </rPr>
      <t xml:space="preserve"> </t>
    </r>
    <r>
      <rPr>
        <sz val="9"/>
        <color theme="1"/>
        <rFont val="맑은 고딕"/>
        <family val="2"/>
      </rPr>
      <t>달</t>
    </r>
    <r>
      <rPr>
        <sz val="9"/>
        <color theme="1"/>
        <rFont val="Calibri"/>
        <family val="2"/>
      </rPr>
      <t xml:space="preserve"> </t>
    </r>
    <r>
      <rPr>
        <sz val="9"/>
        <color theme="1"/>
        <rFont val="맑은 고딕"/>
        <family val="2"/>
      </rPr>
      <t>작업만</t>
    </r>
    <r>
      <rPr>
        <sz val="9"/>
        <color theme="1"/>
        <rFont val="Calibri"/>
        <family val="2"/>
      </rPr>
      <t xml:space="preserve"> </t>
    </r>
    <r>
      <rPr>
        <sz val="9"/>
        <color theme="1"/>
        <rFont val="맑은 고딕"/>
        <family val="2"/>
      </rPr>
      <t>조회</t>
    </r>
  </si>
  <si>
    <r>
      <rPr>
        <sz val="9"/>
        <color theme="1"/>
        <rFont val="맑은 고딕"/>
        <family val="2"/>
      </rPr>
      <t>이번</t>
    </r>
    <r>
      <rPr>
        <sz val="9"/>
        <color theme="1"/>
        <rFont val="Calibri"/>
        <family val="2"/>
      </rPr>
      <t xml:space="preserve"> </t>
    </r>
    <r>
      <rPr>
        <sz val="9"/>
        <color theme="1"/>
        <rFont val="맑은 고딕"/>
        <family val="2"/>
      </rPr>
      <t>주</t>
    </r>
    <r>
      <rPr>
        <sz val="9"/>
        <color theme="1"/>
        <rFont val="Calibri"/>
        <family val="2"/>
      </rPr>
      <t xml:space="preserve"> </t>
    </r>
    <r>
      <rPr>
        <sz val="9"/>
        <color theme="1"/>
        <rFont val="맑은 고딕"/>
        <family val="2"/>
      </rPr>
      <t>작업만</t>
    </r>
    <r>
      <rPr>
        <sz val="9"/>
        <color theme="1"/>
        <rFont val="Calibri"/>
        <family val="2"/>
      </rPr>
      <t xml:space="preserve"> </t>
    </r>
    <r>
      <rPr>
        <sz val="9"/>
        <color theme="1"/>
        <rFont val="맑은 고딕"/>
        <family val="2"/>
      </rPr>
      <t>조회</t>
    </r>
  </si>
  <si>
    <r>
      <rPr>
        <sz val="9"/>
        <color theme="1"/>
        <rFont val="맑은 고딕"/>
        <family val="2"/>
      </rPr>
      <t>지금</t>
    </r>
    <r>
      <rPr>
        <sz val="9"/>
        <color theme="1"/>
        <rFont val="Calibri"/>
        <family val="2"/>
      </rPr>
      <t xml:space="preserve"> </t>
    </r>
    <r>
      <rPr>
        <sz val="9"/>
        <color theme="1"/>
        <rFont val="맑은 고딕"/>
        <family val="2"/>
      </rPr>
      <t>사용하고</t>
    </r>
    <r>
      <rPr>
        <sz val="9"/>
        <color theme="1"/>
        <rFont val="Calibri"/>
        <family val="2"/>
      </rPr>
      <t xml:space="preserve"> </t>
    </r>
    <r>
      <rPr>
        <sz val="9"/>
        <color theme="1"/>
        <rFont val="맑은 고딕"/>
        <family val="2"/>
      </rPr>
      <t>계신</t>
    </r>
    <r>
      <rPr>
        <sz val="9"/>
        <color theme="1"/>
        <rFont val="Calibri"/>
        <family val="2"/>
      </rPr>
      <t xml:space="preserve"> XLGantt</t>
    </r>
    <r>
      <rPr>
        <sz val="9"/>
        <color theme="1"/>
        <rFont val="맑은 고딕"/>
        <family val="2"/>
      </rPr>
      <t>는</t>
    </r>
    <r>
      <rPr>
        <sz val="9"/>
        <color theme="1"/>
        <rFont val="Calibri"/>
        <family val="2"/>
      </rPr>
      <t xml:space="preserve"> </t>
    </r>
    <r>
      <rPr>
        <sz val="9"/>
        <color theme="1"/>
        <rFont val="맑은 고딕"/>
        <family val="2"/>
      </rPr>
      <t>최신버전이</t>
    </r>
    <r>
      <rPr>
        <sz val="9"/>
        <color theme="1"/>
        <rFont val="Calibri"/>
        <family val="2"/>
      </rPr>
      <t xml:space="preserve"> </t>
    </r>
    <r>
      <rPr>
        <sz val="9"/>
        <color theme="1"/>
        <rFont val="맑은 고딕"/>
        <family val="2"/>
      </rPr>
      <t>아닙니다</t>
    </r>
    <r>
      <rPr>
        <sz val="9"/>
        <color theme="1"/>
        <rFont val="Calibri"/>
        <family val="2"/>
      </rPr>
      <t xml:space="preserve">.\n_x000D_
</t>
    </r>
    <r>
      <rPr>
        <sz val="9"/>
        <color theme="1"/>
        <rFont val="맑은 고딕"/>
        <family val="2"/>
      </rPr>
      <t>최신버전을</t>
    </r>
    <r>
      <rPr>
        <sz val="9"/>
        <color theme="1"/>
        <rFont val="Calibri"/>
        <family val="2"/>
      </rPr>
      <t xml:space="preserve"> </t>
    </r>
    <r>
      <rPr>
        <sz val="9"/>
        <color theme="1"/>
        <rFont val="맑은 고딕"/>
        <family val="2"/>
      </rPr>
      <t>아래의</t>
    </r>
    <r>
      <rPr>
        <sz val="9"/>
        <color theme="1"/>
        <rFont val="Calibri"/>
        <family val="2"/>
      </rPr>
      <t xml:space="preserve"> </t>
    </r>
    <r>
      <rPr>
        <sz val="9"/>
        <color theme="1"/>
        <rFont val="맑은 고딕"/>
        <family val="2"/>
      </rPr>
      <t>사이트에서</t>
    </r>
    <r>
      <rPr>
        <sz val="9"/>
        <color theme="1"/>
        <rFont val="Calibri"/>
        <family val="2"/>
      </rPr>
      <t xml:space="preserve"> </t>
    </r>
    <r>
      <rPr>
        <sz val="9"/>
        <color theme="1"/>
        <rFont val="맑은 고딕"/>
        <family val="2"/>
      </rPr>
      <t>다운로드</t>
    </r>
    <r>
      <rPr>
        <sz val="9"/>
        <color theme="1"/>
        <rFont val="Calibri"/>
        <family val="2"/>
      </rPr>
      <t xml:space="preserve"> </t>
    </r>
    <r>
      <rPr>
        <sz val="9"/>
        <color theme="1"/>
        <rFont val="맑은 고딕"/>
        <family val="2"/>
      </rPr>
      <t>받으세요</t>
    </r>
    <r>
      <rPr>
        <sz val="9"/>
        <color theme="1"/>
        <rFont val="Calibri"/>
        <family val="2"/>
      </rPr>
      <t>.</t>
    </r>
  </si>
  <si>
    <r>
      <t xml:space="preserve">Time bucket type </t>
    </r>
    <r>
      <rPr>
        <sz val="9"/>
        <color theme="1"/>
        <rFont val="맑은 고딕"/>
        <family val="2"/>
      </rPr>
      <t>오류입니다</t>
    </r>
    <r>
      <rPr>
        <sz val="9"/>
        <color theme="1"/>
        <rFont val="Calibri"/>
        <family val="2"/>
      </rPr>
      <t>.</t>
    </r>
  </si>
  <si>
    <r>
      <t>Target</t>
    </r>
    <r>
      <rPr>
        <sz val="9"/>
        <color theme="1"/>
        <rFont val="맑은 고딕"/>
        <family val="2"/>
      </rPr>
      <t>파일</t>
    </r>
    <r>
      <rPr>
        <sz val="9"/>
        <color theme="1"/>
        <rFont val="Calibri"/>
        <family val="2"/>
      </rPr>
      <t>(</t>
    </r>
    <r>
      <rPr>
        <sz val="9"/>
        <color theme="1"/>
        <rFont val="맑은 고딕"/>
        <family val="2"/>
      </rPr>
      <t>가져온</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파일</t>
    </r>
    <r>
      <rPr>
        <sz val="9"/>
        <color theme="1"/>
        <rFont val="Calibri"/>
        <family val="2"/>
      </rPr>
      <t>)</t>
    </r>
  </si>
  <si>
    <r>
      <rPr>
        <sz val="9"/>
        <color theme="1"/>
        <rFont val="맑은 고딕"/>
        <family val="2"/>
      </rPr>
      <t>끝날짜</t>
    </r>
    <r>
      <rPr>
        <sz val="9"/>
        <color theme="1"/>
        <rFont val="Calibri"/>
        <family val="2"/>
      </rPr>
      <t xml:space="preserve"> </t>
    </r>
    <r>
      <rPr>
        <sz val="9"/>
        <color theme="1"/>
        <rFont val="맑은 고딕"/>
        <family val="2"/>
      </rPr>
      <t>형식이</t>
    </r>
    <r>
      <rPr>
        <sz val="9"/>
        <color theme="1"/>
        <rFont val="Calibri"/>
        <family val="2"/>
      </rPr>
      <t xml:space="preserve"> </t>
    </r>
    <r>
      <rPr>
        <sz val="9"/>
        <color theme="1"/>
        <rFont val="맑은 고딕"/>
        <family val="2"/>
      </rPr>
      <t>잘못되었습니다</t>
    </r>
    <r>
      <rPr>
        <sz val="9"/>
        <color theme="1"/>
        <rFont val="Calibri"/>
        <family val="2"/>
      </rPr>
      <t>.</t>
    </r>
  </si>
  <si>
    <r>
      <t>Source</t>
    </r>
    <r>
      <rPr>
        <sz val="9"/>
        <color theme="1"/>
        <rFont val="맑은 고딕"/>
        <family val="2"/>
      </rPr>
      <t>파일에서</t>
    </r>
    <r>
      <rPr>
        <sz val="9"/>
        <color theme="1"/>
        <rFont val="Calibri"/>
        <family val="2"/>
      </rPr>
      <t xml:space="preserve"> Target</t>
    </r>
    <r>
      <rPr>
        <sz val="9"/>
        <color theme="1"/>
        <rFont val="맑은 고딕"/>
        <family val="2"/>
      </rPr>
      <t>파일로</t>
    </r>
    <r>
      <rPr>
        <sz val="9"/>
        <color theme="1"/>
        <rFont val="Calibri"/>
        <family val="2"/>
      </rPr>
      <t xml:space="preserve"> </t>
    </r>
    <r>
      <rPr>
        <sz val="9"/>
        <color theme="1"/>
        <rFont val="맑은 고딕"/>
        <family val="2"/>
      </rPr>
      <t>가져오기</t>
    </r>
    <r>
      <rPr>
        <sz val="9"/>
        <color theme="1"/>
        <rFont val="Calibri"/>
        <family val="2"/>
      </rPr>
      <t xml:space="preserve"> </t>
    </r>
    <r>
      <rPr>
        <sz val="9"/>
        <color theme="1"/>
        <rFont val="맑은 고딕"/>
        <family val="2"/>
      </rPr>
      <t>위해서</t>
    </r>
    <r>
      <rPr>
        <sz val="9"/>
        <color theme="1"/>
        <rFont val="Calibri"/>
        <family val="2"/>
      </rPr>
      <t xml:space="preserve"> </t>
    </r>
    <r>
      <rPr>
        <sz val="9"/>
        <color theme="1"/>
        <rFont val="맑은 고딕"/>
        <family val="2"/>
      </rPr>
      <t>각각의</t>
    </r>
    <r>
      <rPr>
        <sz val="9"/>
        <color theme="1"/>
        <rFont val="Calibri"/>
        <family val="2"/>
      </rPr>
      <t xml:space="preserve"> </t>
    </r>
    <r>
      <rPr>
        <sz val="9"/>
        <color theme="1"/>
        <rFont val="맑은 고딕"/>
        <family val="2"/>
      </rPr>
      <t>필드를</t>
    </r>
    <r>
      <rPr>
        <sz val="9"/>
        <color theme="1"/>
        <rFont val="Calibri"/>
        <family val="2"/>
      </rPr>
      <t xml:space="preserve"> Mapping</t>
    </r>
    <r>
      <rPr>
        <sz val="9"/>
        <color theme="1"/>
        <rFont val="맑은 고딕"/>
        <family val="2"/>
      </rPr>
      <t>합니다</t>
    </r>
    <r>
      <rPr>
        <sz val="9"/>
        <color theme="1"/>
        <rFont val="Calibri"/>
        <family val="2"/>
      </rPr>
      <t>. _x000D_
Source</t>
    </r>
    <r>
      <rPr>
        <sz val="9"/>
        <color theme="1"/>
        <rFont val="맑은 고딕"/>
        <family val="2"/>
      </rPr>
      <t>파일의</t>
    </r>
    <r>
      <rPr>
        <sz val="9"/>
        <color theme="1"/>
        <rFont val="Calibri"/>
        <family val="2"/>
      </rPr>
      <t xml:space="preserve"> </t>
    </r>
    <r>
      <rPr>
        <sz val="9"/>
        <color theme="1"/>
        <rFont val="맑은 고딕"/>
        <family val="2"/>
      </rPr>
      <t>필드를</t>
    </r>
    <r>
      <rPr>
        <sz val="9"/>
        <color theme="1"/>
        <rFont val="Calibri"/>
        <family val="2"/>
      </rPr>
      <t xml:space="preserve"> </t>
    </r>
    <r>
      <rPr>
        <sz val="9"/>
        <color theme="1"/>
        <rFont val="맑은 고딕"/>
        <family val="2"/>
      </rPr>
      <t>먼저</t>
    </r>
    <r>
      <rPr>
        <sz val="9"/>
        <color theme="1"/>
        <rFont val="Calibri"/>
        <family val="2"/>
      </rPr>
      <t xml:space="preserve"> </t>
    </r>
    <r>
      <rPr>
        <sz val="9"/>
        <color theme="1"/>
        <rFont val="맑은 고딕"/>
        <family val="2"/>
      </rPr>
      <t>선택하고</t>
    </r>
    <r>
      <rPr>
        <sz val="9"/>
        <color theme="1"/>
        <rFont val="Calibri"/>
        <family val="2"/>
      </rPr>
      <t xml:space="preserve"> </t>
    </r>
    <r>
      <rPr>
        <sz val="9"/>
        <color theme="1"/>
        <rFont val="맑은 고딕"/>
        <family val="2"/>
      </rPr>
      <t>해당되는</t>
    </r>
    <r>
      <rPr>
        <sz val="9"/>
        <color theme="1"/>
        <rFont val="Calibri"/>
        <family val="2"/>
      </rPr>
      <t xml:space="preserve"> </t>
    </r>
    <r>
      <rPr>
        <sz val="9"/>
        <color theme="1"/>
        <rFont val="맑은 고딕"/>
        <family val="2"/>
      </rPr>
      <t>필드를</t>
    </r>
    <r>
      <rPr>
        <sz val="9"/>
        <color theme="1"/>
        <rFont val="Calibri"/>
        <family val="2"/>
      </rPr>
      <t xml:space="preserve"> Targe</t>
    </r>
    <r>
      <rPr>
        <sz val="9"/>
        <color theme="1"/>
        <rFont val="맑은 고딕"/>
        <family val="2"/>
      </rPr>
      <t>파일에서</t>
    </r>
    <r>
      <rPr>
        <sz val="9"/>
        <color theme="1"/>
        <rFont val="Calibri"/>
        <family val="2"/>
      </rPr>
      <t xml:space="preserve"> </t>
    </r>
    <r>
      <rPr>
        <sz val="9"/>
        <color theme="1"/>
        <rFont val="맑은 고딕"/>
        <family val="2"/>
      </rPr>
      <t>찾아서</t>
    </r>
    <r>
      <rPr>
        <sz val="9"/>
        <color theme="1"/>
        <rFont val="Calibri"/>
        <family val="2"/>
      </rPr>
      <t xml:space="preserve"> Mapping</t>
    </r>
    <r>
      <rPr>
        <sz val="9"/>
        <color theme="1"/>
        <rFont val="맑은 고딕"/>
        <family val="2"/>
      </rPr>
      <t>합니다</t>
    </r>
    <r>
      <rPr>
        <sz val="9"/>
        <color theme="1"/>
        <rFont val="Calibri"/>
        <family val="2"/>
      </rPr>
      <t>.</t>
    </r>
  </si>
  <si>
    <r>
      <rPr>
        <sz val="9"/>
        <color theme="1"/>
        <rFont val="맑은 고딕"/>
        <family val="2"/>
      </rPr>
      <t>오늘</t>
    </r>
    <r>
      <rPr>
        <sz val="9"/>
        <color theme="1"/>
        <rFont val="Calibri"/>
        <family val="2"/>
      </rPr>
      <t xml:space="preserve"> </t>
    </r>
    <r>
      <rPr>
        <sz val="9"/>
        <color theme="1"/>
        <rFont val="맑은 고딕"/>
        <family val="2"/>
      </rPr>
      <t>작업만</t>
    </r>
    <r>
      <rPr>
        <sz val="9"/>
        <color theme="1"/>
        <rFont val="Calibri"/>
        <family val="2"/>
      </rPr>
      <t xml:space="preserve"> </t>
    </r>
    <r>
      <rPr>
        <sz val="9"/>
        <color theme="1"/>
        <rFont val="맑은 고딕"/>
        <family val="2"/>
      </rPr>
      <t>조회</t>
    </r>
  </si>
  <si>
    <r>
      <rPr>
        <sz val="9"/>
        <color theme="1"/>
        <rFont val="맑은 고딕"/>
        <family val="2"/>
      </rPr>
      <t>총작업량</t>
    </r>
    <r>
      <rPr>
        <sz val="9"/>
        <color theme="1"/>
        <rFont val="Calibri"/>
        <family val="2"/>
      </rPr>
      <t>(A)\nMan-day</t>
    </r>
  </si>
  <si>
    <r>
      <rPr>
        <sz val="9"/>
        <color theme="1"/>
        <rFont val="맑은 고딕"/>
        <family val="2"/>
      </rPr>
      <t>총</t>
    </r>
    <r>
      <rPr>
        <sz val="9"/>
        <color theme="1"/>
        <rFont val="Calibri"/>
        <family val="2"/>
      </rPr>
      <t xml:space="preserve"> </t>
    </r>
    <r>
      <rPr>
        <sz val="9"/>
        <color theme="1"/>
        <rFont val="맑은 고딕"/>
        <family val="2"/>
      </rPr>
      <t xml:space="preserve">작업량_x000D_
</t>
    </r>
    <r>
      <rPr>
        <sz val="9"/>
        <color theme="1"/>
        <rFont val="Calibri"/>
        <family val="2"/>
      </rPr>
      <t>(</t>
    </r>
    <r>
      <rPr>
        <sz val="9"/>
        <color theme="1"/>
        <rFont val="맑은 고딕"/>
        <family val="2"/>
      </rPr>
      <t>총</t>
    </r>
    <r>
      <rPr>
        <sz val="9"/>
        <color theme="1"/>
        <rFont val="Calibri"/>
        <family val="2"/>
      </rPr>
      <t xml:space="preserve">ManDay,_x000D_
</t>
    </r>
    <r>
      <rPr>
        <sz val="9"/>
        <color theme="1"/>
        <rFont val="맑은 고딕"/>
        <family val="2"/>
      </rPr>
      <t>가중치</t>
    </r>
    <r>
      <rPr>
        <sz val="9"/>
        <color theme="1"/>
        <rFont val="Calibri"/>
        <family val="2"/>
      </rPr>
      <t xml:space="preserve"> </t>
    </r>
    <r>
      <rPr>
        <sz val="9"/>
        <color theme="1"/>
        <rFont val="맑은 고딕"/>
        <family val="2"/>
      </rPr>
      <t>감안</t>
    </r>
    <r>
      <rPr>
        <sz val="9"/>
        <color theme="1"/>
        <rFont val="Calibri"/>
        <family val="2"/>
      </rPr>
      <t>)</t>
    </r>
  </si>
  <si>
    <r>
      <rPr>
        <sz val="9"/>
        <color theme="1"/>
        <rFont val="맑은 고딕"/>
        <family val="2"/>
      </rPr>
      <t>프로젝트</t>
    </r>
    <r>
      <rPr>
        <sz val="9"/>
        <color theme="1"/>
        <rFont val="Calibri"/>
        <family val="2"/>
      </rPr>
      <t xml:space="preserve"> </t>
    </r>
    <r>
      <rPr>
        <sz val="9"/>
        <color theme="1"/>
        <rFont val="맑은 고딕"/>
        <family val="2"/>
      </rPr>
      <t>전체</t>
    </r>
    <r>
      <rPr>
        <sz val="9"/>
        <color theme="1"/>
        <rFont val="Calibri"/>
        <family val="2"/>
      </rPr>
      <t xml:space="preserve"> </t>
    </r>
    <r>
      <rPr>
        <sz val="9"/>
        <color theme="1"/>
        <rFont val="맑은 고딕"/>
        <family val="2"/>
      </rPr>
      <t>작업량</t>
    </r>
  </si>
  <si>
    <r>
      <rPr>
        <sz val="9"/>
        <color theme="1"/>
        <rFont val="맑은 고딕"/>
        <family val="2"/>
      </rPr>
      <t>총</t>
    </r>
    <r>
      <rPr>
        <sz val="9"/>
        <color theme="1"/>
        <rFont val="Calibri"/>
        <family val="2"/>
      </rPr>
      <t>\n</t>
    </r>
    <r>
      <rPr>
        <sz val="9"/>
        <color theme="1"/>
        <rFont val="맑은 고딕"/>
        <family val="2"/>
      </rPr>
      <t>작업량</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</si>
  <si>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실적진척율을</t>
    </r>
    <r>
      <rPr>
        <sz val="9"/>
        <color theme="1"/>
        <rFont val="Calibri"/>
        <family val="2"/>
      </rPr>
      <t xml:space="preserve"> 0~100% </t>
    </r>
    <r>
      <rPr>
        <sz val="9"/>
        <color theme="1"/>
        <rFont val="맑은 고딕"/>
        <family val="2"/>
      </rPr>
      <t>범위로</t>
    </r>
    <r>
      <rPr>
        <sz val="9"/>
        <color theme="1"/>
        <rFont val="Calibri"/>
        <family val="2"/>
      </rPr>
      <t xml:space="preserve"> </t>
    </r>
    <r>
      <rPr>
        <sz val="9"/>
        <color theme="1"/>
        <rFont val="맑은 고딕"/>
        <family val="2"/>
      </rPr>
      <t>입력해주세요</t>
    </r>
    <r>
      <rPr>
        <sz val="9"/>
        <color theme="1"/>
        <rFont val="Calibri"/>
        <family val="2"/>
      </rPr>
      <t>.</t>
    </r>
  </si>
  <si>
    <r>
      <rPr>
        <sz val="9"/>
        <color theme="1"/>
        <rFont val="맑은 고딕"/>
        <family val="2"/>
      </rPr>
      <t>파일을</t>
    </r>
    <r>
      <rPr>
        <sz val="9"/>
        <color theme="1"/>
        <rFont val="Calibri"/>
        <family val="2"/>
      </rPr>
      <t xml:space="preserve"> </t>
    </r>
    <r>
      <rPr>
        <sz val="9"/>
        <color theme="1"/>
        <rFont val="맑은 고딕"/>
        <family val="2"/>
      </rPr>
      <t>열수</t>
    </r>
    <r>
      <rPr>
        <sz val="9"/>
        <color theme="1"/>
        <rFont val="Calibri"/>
        <family val="2"/>
      </rPr>
      <t xml:space="preserve"> </t>
    </r>
    <r>
      <rPr>
        <sz val="9"/>
        <color theme="1"/>
        <rFont val="맑은 고딕"/>
        <family val="2"/>
      </rPr>
      <t>없습니다</t>
    </r>
    <r>
      <rPr>
        <sz val="9"/>
        <color theme="1"/>
        <rFont val="Calibri"/>
        <family val="2"/>
      </rPr>
      <t xml:space="preserve">. </t>
    </r>
    <r>
      <rPr>
        <sz val="9"/>
        <color theme="1"/>
        <rFont val="맑은 고딕"/>
        <family val="2"/>
      </rPr>
      <t>환경설정</t>
    </r>
    <r>
      <rPr>
        <sz val="9"/>
        <color theme="1"/>
        <rFont val="Calibri"/>
        <family val="2"/>
      </rPr>
      <t>&gt;</t>
    </r>
    <r>
      <rPr>
        <sz val="9"/>
        <color theme="1"/>
        <rFont val="맑은 고딕"/>
        <family val="2"/>
      </rPr>
      <t>산출물관리</t>
    </r>
    <r>
      <rPr>
        <sz val="9"/>
        <color theme="1"/>
        <rFont val="Calibri"/>
        <family val="2"/>
      </rPr>
      <t xml:space="preserve"> </t>
    </r>
    <r>
      <rPr>
        <sz val="9"/>
        <color theme="1"/>
        <rFont val="맑은 고딕"/>
        <family val="2"/>
      </rPr>
      <t>탭에서</t>
    </r>
    <r>
      <rPr>
        <sz val="9"/>
        <color theme="1"/>
        <rFont val="Calibri"/>
        <family val="2"/>
      </rPr>
      <t xml:space="preserve"> "</t>
    </r>
    <r>
      <rPr>
        <sz val="9"/>
        <color theme="1"/>
        <rFont val="맑은 고딕"/>
        <family val="2"/>
      </rPr>
      <t>산출물</t>
    </r>
    <r>
      <rPr>
        <sz val="9"/>
        <color theme="1"/>
        <rFont val="Calibri"/>
        <family val="2"/>
      </rPr>
      <t xml:space="preserve"> </t>
    </r>
    <r>
      <rPr>
        <sz val="9"/>
        <color theme="1"/>
        <rFont val="맑은 고딕"/>
        <family val="2"/>
      </rPr>
      <t>관리를</t>
    </r>
    <r>
      <rPr>
        <sz val="9"/>
        <color theme="1"/>
        <rFont val="Calibri"/>
        <family val="2"/>
      </rPr>
      <t xml:space="preserve"> </t>
    </r>
    <r>
      <rPr>
        <sz val="9"/>
        <color theme="1"/>
        <rFont val="맑은 고딕"/>
        <family val="2"/>
      </rPr>
      <t>할</t>
    </r>
    <r>
      <rPr>
        <sz val="9"/>
        <color theme="1"/>
        <rFont val="Calibri"/>
        <family val="2"/>
      </rPr>
      <t xml:space="preserve"> </t>
    </r>
    <r>
      <rPr>
        <sz val="9"/>
        <color theme="1"/>
        <rFont val="맑은 고딕"/>
        <family val="2"/>
      </rPr>
      <t>경우에</t>
    </r>
    <r>
      <rPr>
        <sz val="9"/>
        <color theme="1"/>
        <rFont val="Calibri"/>
        <family val="2"/>
      </rPr>
      <t xml:space="preserve"> </t>
    </r>
    <r>
      <rPr>
        <sz val="9"/>
        <color theme="1"/>
        <rFont val="맑은 고딕"/>
        <family val="2"/>
      </rPr>
      <t>체크하세요</t>
    </r>
    <r>
      <rPr>
        <sz val="9"/>
        <color theme="1"/>
        <rFont val="Calibri"/>
        <family val="2"/>
      </rPr>
      <t xml:space="preserve">" </t>
    </r>
    <r>
      <rPr>
        <sz val="9"/>
        <color theme="1"/>
        <rFont val="맑은 고딕"/>
        <family val="2"/>
      </rPr>
      <t>옵션을</t>
    </r>
    <r>
      <rPr>
        <sz val="9"/>
        <color theme="1"/>
        <rFont val="Calibri"/>
        <family val="2"/>
      </rPr>
      <t xml:space="preserve"> </t>
    </r>
    <r>
      <rPr>
        <sz val="9"/>
        <color theme="1"/>
        <rFont val="맑은 고딕"/>
        <family val="2"/>
      </rPr>
      <t>체크상태로</t>
    </r>
    <r>
      <rPr>
        <sz val="9"/>
        <color theme="1"/>
        <rFont val="Calibri"/>
        <family val="2"/>
      </rPr>
      <t xml:space="preserve"> </t>
    </r>
    <r>
      <rPr>
        <sz val="9"/>
        <color theme="1"/>
        <rFont val="맑은 고딕"/>
        <family val="2"/>
      </rPr>
      <t>변경해</t>
    </r>
    <r>
      <rPr>
        <sz val="9"/>
        <color theme="1"/>
        <rFont val="Calibri"/>
        <family val="2"/>
      </rPr>
      <t xml:space="preserve"> </t>
    </r>
    <r>
      <rPr>
        <sz val="9"/>
        <color theme="1"/>
        <rFont val="맑은 고딕"/>
        <family val="2"/>
      </rPr>
      <t>주세요</t>
    </r>
    <r>
      <rPr>
        <sz val="9"/>
        <color theme="1"/>
        <rFont val="Calibri"/>
        <family val="2"/>
      </rPr>
      <t>.</t>
    </r>
  </si>
  <si>
    <r>
      <rPr>
        <sz val="9"/>
        <color theme="1"/>
        <rFont val="맑은 고딕"/>
        <family val="2"/>
      </rPr>
      <t>업데이트</t>
    </r>
    <r>
      <rPr>
        <sz val="9"/>
        <color theme="1"/>
        <rFont val="Calibri"/>
        <family val="2"/>
      </rPr>
      <t xml:space="preserve"> </t>
    </r>
    <r>
      <rPr>
        <sz val="9"/>
        <color theme="1"/>
        <rFont val="맑은 고딕"/>
        <family val="2"/>
      </rPr>
      <t>내용</t>
    </r>
  </si>
  <si>
    <r>
      <rPr>
        <sz val="9"/>
        <color theme="1"/>
        <rFont val="맑은 고딕"/>
        <family val="2"/>
      </rPr>
      <t>스케줄업데이트</t>
    </r>
    <r>
      <rPr>
        <sz val="9"/>
        <color theme="1"/>
        <rFont val="Calibri"/>
        <family val="2"/>
      </rPr>
      <t xml:space="preserve"> </t>
    </r>
    <r>
      <rPr>
        <sz val="9"/>
        <color theme="1"/>
        <rFont val="맑은 고딕"/>
        <family val="2"/>
      </rPr>
      <t>중입니다</t>
    </r>
    <r>
      <rPr>
        <sz val="9"/>
        <color theme="1"/>
        <rFont val="Calibri"/>
        <family val="2"/>
      </rPr>
      <t>...\n</t>
    </r>
    <r>
      <rPr>
        <sz val="9"/>
        <color theme="1"/>
        <rFont val="맑은 고딕"/>
        <family val="2"/>
      </rPr>
      <t>잠시만</t>
    </r>
    <r>
      <rPr>
        <sz val="9"/>
        <color theme="1"/>
        <rFont val="Calibri"/>
        <family val="2"/>
      </rPr>
      <t xml:space="preserve"> </t>
    </r>
    <r>
      <rPr>
        <sz val="9"/>
        <color theme="1"/>
        <rFont val="맑은 고딕"/>
        <family val="2"/>
      </rPr>
      <t>기다려</t>
    </r>
    <r>
      <rPr>
        <sz val="9"/>
        <color theme="1"/>
        <rFont val="Calibri"/>
        <family val="2"/>
      </rPr>
      <t xml:space="preserve"> </t>
    </r>
    <r>
      <rPr>
        <sz val="9"/>
        <color theme="1"/>
        <rFont val="맑은 고딕"/>
        <family val="2"/>
      </rPr>
      <t>주세요</t>
    </r>
    <r>
      <rPr>
        <sz val="9"/>
        <color theme="1"/>
        <rFont val="Calibri"/>
        <family val="2"/>
      </rPr>
      <t>...</t>
    </r>
  </si>
  <si>
    <r>
      <rPr>
        <sz val="9"/>
        <color theme="1"/>
        <rFont val="맑은 고딕"/>
        <family val="2"/>
      </rPr>
      <t>사용자정의</t>
    </r>
    <r>
      <rPr>
        <sz val="9"/>
        <color theme="1"/>
        <rFont val="Calibri"/>
        <family val="2"/>
      </rPr>
      <t xml:space="preserve"> </t>
    </r>
    <r>
      <rPr>
        <sz val="9"/>
        <color theme="1"/>
        <rFont val="맑은 고딕"/>
        <family val="2"/>
      </rPr>
      <t>캘린더</t>
    </r>
    <r>
      <rPr>
        <sz val="9"/>
        <color theme="1"/>
        <rFont val="Calibri"/>
        <family val="2"/>
      </rPr>
      <t>1</t>
    </r>
  </si>
  <si>
    <r>
      <rPr>
        <sz val="9"/>
        <color theme="1"/>
        <rFont val="맑은 고딕"/>
        <family val="2"/>
      </rPr>
      <t>사용자정의</t>
    </r>
    <r>
      <rPr>
        <sz val="9"/>
        <color theme="1"/>
        <rFont val="Calibri"/>
        <family val="2"/>
      </rPr>
      <t xml:space="preserve"> </t>
    </r>
    <r>
      <rPr>
        <sz val="9"/>
        <color theme="1"/>
        <rFont val="맑은 고딕"/>
        <family val="2"/>
      </rPr>
      <t>캘린더</t>
    </r>
    <r>
      <rPr>
        <sz val="9"/>
        <color theme="1"/>
        <rFont val="Calibri"/>
        <family val="2"/>
      </rPr>
      <t>2</t>
    </r>
  </si>
  <si>
    <r>
      <rPr>
        <sz val="9"/>
        <color theme="1"/>
        <rFont val="맑은 고딕"/>
        <family val="2"/>
      </rPr>
      <t>차이</t>
    </r>
    <r>
      <rPr>
        <sz val="9"/>
        <color theme="1"/>
        <rFont val="Calibri"/>
        <family val="2"/>
      </rPr>
      <t>(</t>
    </r>
    <r>
      <rPr>
        <sz val="9"/>
        <color theme="1"/>
        <rFont val="맑은 고딕"/>
        <family val="2"/>
      </rPr>
      <t>실적</t>
    </r>
    <r>
      <rPr>
        <sz val="9"/>
        <color theme="1"/>
        <rFont val="Calibri"/>
        <family val="2"/>
      </rPr>
      <t>-</t>
    </r>
    <r>
      <rPr>
        <sz val="9"/>
        <color theme="1"/>
        <rFont val="맑은 고딕"/>
        <family val="2"/>
      </rPr>
      <t>계획</t>
    </r>
    <r>
      <rPr>
        <sz val="9"/>
        <color theme="1"/>
        <rFont val="Calibri"/>
        <family val="2"/>
      </rPr>
      <t>)</t>
    </r>
  </si>
  <si>
    <r>
      <t>WBS</t>
    </r>
    <r>
      <rPr>
        <sz val="9"/>
        <color theme="1"/>
        <rFont val="맑은 고딕"/>
        <family val="2"/>
      </rPr>
      <t>영역</t>
    </r>
    <r>
      <rPr>
        <sz val="9"/>
        <color theme="1"/>
        <rFont val="Calibri"/>
        <family val="2"/>
      </rPr>
      <t xml:space="preserve"> </t>
    </r>
    <r>
      <rPr>
        <sz val="9"/>
        <color theme="1"/>
        <rFont val="맑은 고딕"/>
        <family val="2"/>
      </rPr>
      <t>표시방법</t>
    </r>
  </si>
  <si>
    <r>
      <t>WBS Level(</t>
    </r>
    <r>
      <rPr>
        <sz val="9"/>
        <color theme="1"/>
        <rFont val="맑은 고딕"/>
        <family val="2"/>
      </rPr>
      <t>개요번호</t>
    </r>
    <r>
      <rPr>
        <sz val="9"/>
        <color theme="1"/>
        <rFont val="Calibri"/>
        <family val="2"/>
      </rPr>
      <t>)</t>
    </r>
    <r>
      <rPr>
        <sz val="9"/>
        <color theme="1"/>
        <rFont val="맑은 고딕"/>
        <family val="2"/>
      </rPr>
      <t>에</t>
    </r>
    <r>
      <rPr>
        <sz val="9"/>
        <color theme="1"/>
        <rFont val="Calibri"/>
        <family val="2"/>
      </rPr>
      <t xml:space="preserve"> </t>
    </r>
    <r>
      <rPr>
        <sz val="9"/>
        <color theme="1"/>
        <rFont val="맑은 고딕"/>
        <family val="2"/>
      </rPr>
      <t>숫자가</t>
    </r>
    <r>
      <rPr>
        <sz val="9"/>
        <color theme="1"/>
        <rFont val="Calibri"/>
        <family val="2"/>
      </rPr>
      <t xml:space="preserve"> </t>
    </r>
    <r>
      <rPr>
        <sz val="9"/>
        <color theme="1"/>
        <rFont val="맑은 고딕"/>
        <family val="2"/>
      </rPr>
      <t>아닌</t>
    </r>
    <r>
      <rPr>
        <sz val="9"/>
        <color theme="1"/>
        <rFont val="Calibri"/>
        <family val="2"/>
      </rPr>
      <t xml:space="preserve"> </t>
    </r>
    <r>
      <rPr>
        <sz val="9"/>
        <color theme="1"/>
        <rFont val="맑은 고딕"/>
        <family val="2"/>
      </rPr>
      <t>값이</t>
    </r>
    <r>
      <rPr>
        <sz val="9"/>
        <color theme="1"/>
        <rFont val="Calibri"/>
        <family val="2"/>
      </rPr>
      <t xml:space="preserve"> </t>
    </r>
    <r>
      <rPr>
        <sz val="9"/>
        <color theme="1"/>
        <rFont val="맑은 고딕"/>
        <family val="2"/>
      </rPr>
      <t>포함되어</t>
    </r>
    <r>
      <rPr>
        <sz val="9"/>
        <color theme="1"/>
        <rFont val="Calibri"/>
        <family val="2"/>
      </rPr>
      <t xml:space="preserve"> </t>
    </r>
    <r>
      <rPr>
        <sz val="9"/>
        <color theme="1"/>
        <rFont val="맑은 고딕"/>
        <family val="2"/>
      </rPr>
      <t>있습니다</t>
    </r>
    <r>
      <rPr>
        <sz val="9"/>
        <color theme="1"/>
        <rFont val="Calibri"/>
        <family val="2"/>
      </rPr>
      <t>. Import</t>
    </r>
    <r>
      <rPr>
        <sz val="9"/>
        <color theme="1"/>
        <rFont val="맑은 고딕"/>
        <family val="2"/>
      </rPr>
      <t>하는</t>
    </r>
    <r>
      <rPr>
        <sz val="9"/>
        <color theme="1"/>
        <rFont val="Calibri"/>
        <family val="2"/>
      </rPr>
      <t xml:space="preserve"> </t>
    </r>
    <r>
      <rPr>
        <sz val="9"/>
        <color theme="1"/>
        <rFont val="맑은 고딕"/>
        <family val="2"/>
      </rPr>
      <t>파일의</t>
    </r>
    <r>
      <rPr>
        <sz val="9"/>
        <color theme="1"/>
        <rFont val="Calibri"/>
        <family val="2"/>
      </rPr>
      <t xml:space="preserve"> {}</t>
    </r>
    <r>
      <rPr>
        <sz val="9"/>
        <color theme="1"/>
        <rFont val="맑은 고딕"/>
        <family val="2"/>
      </rPr>
      <t>행을</t>
    </r>
    <r>
      <rPr>
        <sz val="9"/>
        <color theme="1"/>
        <rFont val="Calibri"/>
        <family val="2"/>
      </rPr>
      <t xml:space="preserve"> </t>
    </r>
    <r>
      <rPr>
        <sz val="9"/>
        <color theme="1"/>
        <rFont val="맑은 고딕"/>
        <family val="2"/>
      </rPr>
      <t>확인하세요</t>
    </r>
    <r>
      <rPr>
        <sz val="9"/>
        <color theme="1"/>
        <rFont val="Calibri"/>
        <family val="2"/>
      </rPr>
      <t>.</t>
    </r>
  </si>
  <si>
    <r>
      <rPr>
        <sz val="9"/>
        <color theme="1"/>
        <rFont val="맑은 고딕"/>
        <family val="2"/>
      </rPr>
      <t>가중치의</t>
    </r>
    <r>
      <rPr>
        <sz val="9"/>
        <color theme="1"/>
        <rFont val="Calibri"/>
        <family val="2"/>
      </rPr>
      <t xml:space="preserve"> </t>
    </r>
    <r>
      <rPr>
        <sz val="9"/>
        <color theme="1"/>
        <rFont val="맑은 고딕"/>
        <family val="2"/>
      </rPr>
      <t>숫자형식이</t>
    </r>
    <r>
      <rPr>
        <sz val="9"/>
        <color theme="1"/>
        <rFont val="Calibri"/>
        <family val="2"/>
      </rPr>
      <t xml:space="preserve"> </t>
    </r>
    <r>
      <rPr>
        <sz val="9"/>
        <color theme="1"/>
        <rFont val="맑은 고딕"/>
        <family val="2"/>
      </rPr>
      <t>잘못되었습니다</t>
    </r>
    <r>
      <rPr>
        <sz val="9"/>
        <color theme="1"/>
        <rFont val="Calibri"/>
        <family val="2"/>
      </rPr>
      <t>.</t>
    </r>
  </si>
  <si>
    <r>
      <rPr>
        <sz val="9"/>
        <color theme="1"/>
        <rFont val="맑은 고딕"/>
        <family val="2"/>
      </rPr>
      <t>가중치는</t>
    </r>
    <r>
      <rPr>
        <sz val="9"/>
        <color theme="1"/>
        <rFont val="Calibri"/>
        <family val="2"/>
      </rPr>
      <t xml:space="preserve"> 0</t>
    </r>
    <r>
      <rPr>
        <sz val="9"/>
        <color theme="1"/>
        <rFont val="맑은 고딕"/>
        <family val="2"/>
      </rPr>
      <t>보다</t>
    </r>
    <r>
      <rPr>
        <sz val="9"/>
        <color theme="1"/>
        <rFont val="Calibri"/>
        <family val="2"/>
      </rPr>
      <t xml:space="preserve"> </t>
    </r>
    <r>
      <rPr>
        <sz val="9"/>
        <color theme="1"/>
        <rFont val="맑은 고딕"/>
        <family val="2"/>
      </rPr>
      <t>커야</t>
    </r>
    <r>
      <rPr>
        <sz val="9"/>
        <color theme="1"/>
        <rFont val="Calibri"/>
        <family val="2"/>
      </rPr>
      <t xml:space="preserve"> </t>
    </r>
    <r>
      <rPr>
        <sz val="9"/>
        <color theme="1"/>
        <rFont val="맑은 고딕"/>
        <family val="2"/>
      </rPr>
      <t>합니다</t>
    </r>
    <r>
      <rPr>
        <sz val="9"/>
        <color theme="1"/>
        <rFont val="Calibri"/>
        <family val="2"/>
      </rPr>
      <t>.</t>
    </r>
  </si>
  <si>
    <r>
      <t>Workload</t>
    </r>
    <r>
      <rPr>
        <sz val="9"/>
        <color theme="1"/>
        <rFont val="맑은 고딕"/>
        <family val="2"/>
      </rPr>
      <t>현황</t>
    </r>
    <r>
      <rPr>
        <sz val="9"/>
        <color theme="1"/>
        <rFont val="Calibri"/>
        <family val="2"/>
      </rPr>
      <t>({})</t>
    </r>
  </si>
  <si>
    <r>
      <t>Workload(</t>
    </r>
    <r>
      <rPr>
        <sz val="9"/>
        <color theme="1"/>
        <rFont val="맑은 고딕"/>
        <family val="2"/>
      </rPr>
      <t>월별</t>
    </r>
    <r>
      <rPr>
        <sz val="9"/>
        <color theme="1"/>
        <rFont val="Calibri"/>
        <family val="2"/>
      </rPr>
      <t>)</t>
    </r>
  </si>
  <si>
    <r>
      <t>Workload(</t>
    </r>
    <r>
      <rPr>
        <sz val="9"/>
        <color theme="1"/>
        <rFont val="맑은 고딕"/>
        <family val="2"/>
      </rPr>
      <t>담당별</t>
    </r>
    <r>
      <rPr>
        <sz val="9"/>
        <color theme="1"/>
        <rFont val="Calibri"/>
        <family val="2"/>
      </rPr>
      <t>)</t>
    </r>
  </si>
  <si>
    <r>
      <t>Workload(</t>
    </r>
    <r>
      <rPr>
        <sz val="9"/>
        <color theme="1"/>
        <rFont val="맑은 고딕"/>
        <family val="2"/>
      </rPr>
      <t>주별</t>
    </r>
    <r>
      <rPr>
        <sz val="9"/>
        <color theme="1"/>
        <rFont val="Calibri"/>
        <family val="2"/>
      </rPr>
      <t>)</t>
    </r>
  </si>
  <si>
    <r>
      <rPr>
        <sz val="9"/>
        <color theme="1"/>
        <rFont val="맑은 고딕"/>
        <family val="2"/>
      </rPr>
      <t>사용하고</t>
    </r>
    <r>
      <rPr>
        <sz val="9"/>
        <color theme="1"/>
        <rFont val="Calibri"/>
        <family val="2"/>
      </rPr>
      <t xml:space="preserve"> </t>
    </r>
    <r>
      <rPr>
        <sz val="9"/>
        <color theme="1"/>
        <rFont val="맑은 고딕"/>
        <family val="2"/>
      </rPr>
      <t>계신</t>
    </r>
    <r>
      <rPr>
        <sz val="9"/>
        <color theme="1"/>
        <rFont val="Calibri"/>
        <family val="2"/>
      </rPr>
      <t xml:space="preserve"> XLGantt</t>
    </r>
    <r>
      <rPr>
        <sz val="9"/>
        <color theme="1"/>
        <rFont val="맑은 고딕"/>
        <family val="2"/>
      </rPr>
      <t>는</t>
    </r>
    <r>
      <rPr>
        <sz val="9"/>
        <color theme="1"/>
        <rFont val="Calibri"/>
        <family val="2"/>
      </rPr>
      <t xml:space="preserve"> </t>
    </r>
    <r>
      <rPr>
        <sz val="9"/>
        <color theme="1"/>
        <rFont val="맑은 고딕"/>
        <family val="2"/>
      </rPr>
      <t>최신</t>
    </r>
    <r>
      <rPr>
        <sz val="9"/>
        <color theme="1"/>
        <rFont val="Calibri"/>
        <family val="2"/>
      </rPr>
      <t xml:space="preserve"> </t>
    </r>
    <r>
      <rPr>
        <sz val="9"/>
        <color theme="1"/>
        <rFont val="맑은 고딕"/>
        <family val="2"/>
      </rPr>
      <t>버전입니다</t>
    </r>
    <r>
      <rPr>
        <sz val="9"/>
        <color theme="1"/>
        <rFont val="Calibri"/>
        <family val="2"/>
      </rPr>
      <t>.\n</t>
    </r>
    <r>
      <rPr>
        <sz val="9"/>
        <color theme="1"/>
        <rFont val="맑은 고딕"/>
        <family val="2"/>
      </rPr>
      <t>현재</t>
    </r>
    <r>
      <rPr>
        <sz val="9"/>
        <color theme="1"/>
        <rFont val="Calibri"/>
        <family val="2"/>
      </rPr>
      <t xml:space="preserve"> </t>
    </r>
    <r>
      <rPr>
        <sz val="9"/>
        <color theme="1"/>
        <rFont val="맑은 고딕"/>
        <family val="2"/>
      </rPr>
      <t>버전</t>
    </r>
    <r>
      <rPr>
        <sz val="9"/>
        <color theme="1"/>
        <rFont val="Calibri"/>
        <family val="2"/>
      </rPr>
      <t xml:space="preserve"> : {}</t>
    </r>
  </si>
  <si>
    <r>
      <t>{} Sheet</t>
    </r>
    <r>
      <rPr>
        <sz val="9"/>
        <color theme="1"/>
        <rFont val="맑은 고딕"/>
        <family val="2"/>
      </rPr>
      <t>에서만</t>
    </r>
    <r>
      <rPr>
        <sz val="9"/>
        <color theme="1"/>
        <rFont val="Calibri"/>
        <family val="2"/>
      </rPr>
      <t xml:space="preserve"> Outlook</t>
    </r>
    <r>
      <rPr>
        <sz val="9"/>
        <color theme="1"/>
        <rFont val="맑은 고딕"/>
        <family val="2"/>
      </rPr>
      <t>일정을</t>
    </r>
    <r>
      <rPr>
        <sz val="9"/>
        <color theme="1"/>
        <rFont val="Calibri"/>
        <family val="2"/>
      </rPr>
      <t xml:space="preserve"> </t>
    </r>
    <r>
      <rPr>
        <sz val="9"/>
        <color theme="1"/>
        <rFont val="맑은 고딕"/>
        <family val="2"/>
      </rPr>
      <t>등록할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t>
    </r>
  </si>
  <si>
    <r>
      <t>{} Sheet</t>
    </r>
    <r>
      <rPr>
        <sz val="9"/>
        <color theme="1"/>
        <rFont val="맑은 고딕"/>
        <family val="2"/>
      </rPr>
      <t>에서만</t>
    </r>
    <r>
      <rPr>
        <sz val="9"/>
        <color theme="1"/>
        <rFont val="Calibri"/>
        <family val="2"/>
      </rPr>
      <t xml:space="preserve"> Outlook</t>
    </r>
    <r>
      <rPr>
        <sz val="9"/>
        <color theme="1"/>
        <rFont val="맑은 고딕"/>
        <family val="2"/>
      </rPr>
      <t>작업을</t>
    </r>
    <r>
      <rPr>
        <sz val="9"/>
        <color theme="1"/>
        <rFont val="Calibri"/>
        <family val="2"/>
      </rPr>
      <t xml:space="preserve"> </t>
    </r>
    <r>
      <rPr>
        <sz val="9"/>
        <color theme="1"/>
        <rFont val="맑은 고딕"/>
        <family val="2"/>
      </rPr>
      <t>등록할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t>
    </r>
  </si>
  <si>
    <r>
      <t>{} Sheet</t>
    </r>
    <r>
      <rPr>
        <sz val="9"/>
        <color theme="1"/>
        <rFont val="맑은 고딕"/>
        <family val="2"/>
      </rPr>
      <t>에서만</t>
    </r>
    <r>
      <rPr>
        <sz val="9"/>
        <color theme="1"/>
        <rFont val="Calibri"/>
        <family val="2"/>
      </rPr>
      <t xml:space="preserve"> </t>
    </r>
    <r>
      <rPr>
        <sz val="9"/>
        <color theme="1"/>
        <rFont val="맑은 고딕"/>
        <family val="2"/>
      </rPr>
      <t>작업을</t>
    </r>
    <r>
      <rPr>
        <sz val="9"/>
        <color theme="1"/>
        <rFont val="Calibri"/>
        <family val="2"/>
      </rPr>
      <t xml:space="preserve"> </t>
    </r>
    <r>
      <rPr>
        <sz val="9"/>
        <color theme="1"/>
        <rFont val="맑은 고딕"/>
        <family val="2"/>
      </rPr>
      <t>편집할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t>
    </r>
  </si>
  <si>
    <r>
      <t>{} Sheet</t>
    </r>
    <r>
      <rPr>
        <sz val="9"/>
        <color theme="1"/>
        <rFont val="맑은 고딕"/>
        <family val="2"/>
      </rPr>
      <t>에서만</t>
    </r>
    <r>
      <rPr>
        <sz val="9"/>
        <color theme="1"/>
        <rFont val="Calibri"/>
        <family val="2"/>
      </rPr>
      <t xml:space="preserve"> </t>
    </r>
    <r>
      <rPr>
        <sz val="9"/>
        <color theme="1"/>
        <rFont val="맑은 고딕"/>
        <family val="2"/>
      </rPr>
      <t>작업가능합니다</t>
    </r>
    <r>
      <rPr>
        <sz val="9"/>
        <color theme="1"/>
        <rFont val="Calibri"/>
        <family val="2"/>
      </rPr>
      <t>.</t>
    </r>
  </si>
  <si>
    <r>
      <rPr>
        <sz val="9"/>
        <color theme="1"/>
        <rFont val="맑은 고딕"/>
        <family val="2"/>
      </rPr>
      <t>선택한</t>
    </r>
    <r>
      <rPr>
        <sz val="9"/>
        <color theme="1"/>
        <rFont val="Calibri"/>
        <family val="2"/>
      </rPr>
      <t xml:space="preserve"> </t>
    </r>
    <r>
      <rPr>
        <sz val="9"/>
        <color theme="1"/>
        <rFont val="맑은 고딕"/>
        <family val="2"/>
      </rPr>
      <t>위치에서는</t>
    </r>
    <r>
      <rPr>
        <sz val="9"/>
        <color theme="1"/>
        <rFont val="Calibri"/>
        <family val="2"/>
      </rPr>
      <t xml:space="preserve"> </t>
    </r>
    <r>
      <rPr>
        <sz val="9"/>
        <color theme="1"/>
        <rFont val="맑은 고딕"/>
        <family val="2"/>
      </rPr>
      <t>작업할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t>
    </r>
  </si>
  <si>
    <r>
      <rPr>
        <sz val="9"/>
        <color theme="1"/>
        <rFont val="맑은 고딕"/>
        <family val="2"/>
      </rPr>
      <t>선택한</t>
    </r>
    <r>
      <rPr>
        <sz val="9"/>
        <color theme="1"/>
        <rFont val="Calibri"/>
        <family val="2"/>
      </rPr>
      <t xml:space="preserve"> </t>
    </r>
    <r>
      <rPr>
        <sz val="9"/>
        <color theme="1"/>
        <rFont val="맑은 고딕"/>
        <family val="2"/>
      </rPr>
      <t>위치에서는</t>
    </r>
    <r>
      <rPr>
        <sz val="9"/>
        <color theme="1"/>
        <rFont val="Calibri"/>
        <family val="2"/>
      </rPr>
      <t xml:space="preserve"> Outlook</t>
    </r>
    <r>
      <rPr>
        <sz val="9"/>
        <color theme="1"/>
        <rFont val="맑은 고딕"/>
        <family val="2"/>
      </rPr>
      <t>작업을</t>
    </r>
    <r>
      <rPr>
        <sz val="9"/>
        <color theme="1"/>
        <rFont val="Calibri"/>
        <family val="2"/>
      </rPr>
      <t xml:space="preserve"> </t>
    </r>
    <r>
      <rPr>
        <sz val="9"/>
        <color theme="1"/>
        <rFont val="맑은 고딕"/>
        <family val="2"/>
      </rPr>
      <t>등록할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t>
    </r>
  </si>
  <si>
    <r>
      <t>A</t>
    </r>
    <r>
      <rPr>
        <sz val="9"/>
        <color theme="1"/>
        <rFont val="맑은 고딕"/>
        <family val="2"/>
      </rPr>
      <t>열부터</t>
    </r>
    <r>
      <rPr>
        <sz val="9"/>
        <color theme="1"/>
        <rFont val="Calibri"/>
        <family val="2"/>
      </rPr>
      <t xml:space="preserve"> C</t>
    </r>
    <r>
      <rPr>
        <sz val="9"/>
        <color theme="1"/>
        <rFont val="맑은 고딕"/>
        <family val="2"/>
      </rPr>
      <t>열까지는</t>
    </r>
    <r>
      <rPr>
        <sz val="9"/>
        <color theme="1"/>
        <rFont val="Calibri"/>
        <family val="2"/>
      </rPr>
      <t xml:space="preserve"> XLGantt</t>
    </r>
    <r>
      <rPr>
        <sz val="9"/>
        <color theme="1"/>
        <rFont val="맑은 고딕"/>
        <family val="2"/>
      </rPr>
      <t>프로그램에서</t>
    </r>
    <r>
      <rPr>
        <sz val="9"/>
        <color theme="1"/>
        <rFont val="Calibri"/>
        <family val="2"/>
      </rPr>
      <t xml:space="preserve"> </t>
    </r>
    <r>
      <rPr>
        <sz val="9"/>
        <color theme="1"/>
        <rFont val="맑은 고딕"/>
        <family val="2"/>
      </rPr>
      <t>사용하는</t>
    </r>
    <r>
      <rPr>
        <sz val="9"/>
        <color theme="1"/>
        <rFont val="Calibri"/>
        <family val="2"/>
      </rPr>
      <t xml:space="preserve"> </t>
    </r>
    <r>
      <rPr>
        <sz val="9"/>
        <color theme="1"/>
        <rFont val="맑은 고딕"/>
        <family val="2"/>
      </rPr>
      <t>영역이므로</t>
    </r>
    <r>
      <rPr>
        <sz val="9"/>
        <color theme="1"/>
        <rFont val="Calibri"/>
        <family val="2"/>
      </rPr>
      <t xml:space="preserve"> </t>
    </r>
    <r>
      <rPr>
        <sz val="9"/>
        <color theme="1"/>
        <rFont val="맑은 고딕"/>
        <family val="2"/>
      </rPr>
      <t>임의로</t>
    </r>
    <r>
      <rPr>
        <sz val="9"/>
        <color theme="1"/>
        <rFont val="Calibri"/>
        <family val="2"/>
      </rPr>
      <t xml:space="preserve"> </t>
    </r>
    <r>
      <rPr>
        <sz val="9"/>
        <color theme="1"/>
        <rFont val="맑은 고딕"/>
        <family val="2"/>
      </rPr>
      <t>열을</t>
    </r>
    <r>
      <rPr>
        <sz val="9"/>
        <color theme="1"/>
        <rFont val="Calibri"/>
        <family val="2"/>
      </rPr>
      <t xml:space="preserve"> </t>
    </r>
    <r>
      <rPr>
        <sz val="9"/>
        <color theme="1"/>
        <rFont val="맑은 고딕"/>
        <family val="2"/>
      </rPr>
      <t>추가할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t>
    </r>
  </si>
  <si>
    <r>
      <rPr>
        <sz val="9"/>
        <color theme="1"/>
        <rFont val="맑은 고딕"/>
        <family val="2"/>
      </rPr>
      <t>더</t>
    </r>
    <r>
      <rPr>
        <sz val="9"/>
        <color theme="1"/>
        <rFont val="Calibri"/>
        <family val="2"/>
      </rPr>
      <t xml:space="preserve"> </t>
    </r>
    <r>
      <rPr>
        <sz val="9"/>
        <color theme="1"/>
        <rFont val="맑은 고딕"/>
        <family val="2"/>
      </rPr>
      <t>이상</t>
    </r>
    <r>
      <rPr>
        <sz val="9"/>
        <color theme="1"/>
        <rFont val="Calibri"/>
        <family val="2"/>
      </rPr>
      <t xml:space="preserve"> </t>
    </r>
    <r>
      <rPr>
        <sz val="9"/>
        <color theme="1"/>
        <rFont val="맑은 고딕"/>
        <family val="2"/>
      </rPr>
      <t>입력불가</t>
    </r>
  </si>
  <si>
    <r>
      <rPr>
        <sz val="9"/>
        <color theme="1"/>
        <rFont val="맑은 고딕"/>
        <family val="2"/>
      </rPr>
      <t>더</t>
    </r>
    <r>
      <rPr>
        <sz val="9"/>
        <color theme="1"/>
        <rFont val="Calibri"/>
        <family val="2"/>
      </rPr>
      <t xml:space="preserve"> </t>
    </r>
    <r>
      <rPr>
        <sz val="9"/>
        <color theme="1"/>
        <rFont val="맑은 고딕"/>
        <family val="2"/>
      </rPr>
      <t>이상</t>
    </r>
    <r>
      <rPr>
        <sz val="9"/>
        <color theme="1"/>
        <rFont val="Calibri"/>
        <family val="2"/>
      </rPr>
      <t xml:space="preserve"> </t>
    </r>
    <r>
      <rPr>
        <sz val="9"/>
        <color theme="1"/>
        <rFont val="맑은 고딕"/>
        <family val="2"/>
      </rPr>
      <t>오른쪽으로</t>
    </r>
    <r>
      <rPr>
        <sz val="9"/>
        <color theme="1"/>
        <rFont val="Calibri"/>
        <family val="2"/>
      </rPr>
      <t xml:space="preserve"> </t>
    </r>
    <r>
      <rPr>
        <sz val="9"/>
        <color theme="1"/>
        <rFont val="맑은 고딕"/>
        <family val="2"/>
      </rPr>
      <t>이동할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t>
    </r>
  </si>
  <si>
    <r>
      <rPr>
        <sz val="9"/>
        <color theme="1"/>
        <rFont val="맑은 고딕"/>
        <family val="2"/>
      </rPr>
      <t>선택한</t>
    </r>
    <r>
      <rPr>
        <sz val="9"/>
        <color theme="1"/>
        <rFont val="Calibri"/>
        <family val="2"/>
      </rPr>
      <t xml:space="preserve"> </t>
    </r>
    <r>
      <rPr>
        <sz val="9"/>
        <color theme="1"/>
        <rFont val="맑은 고딕"/>
        <family val="2"/>
      </rPr>
      <t>위치에서는</t>
    </r>
    <r>
      <rPr>
        <sz val="9"/>
        <color theme="1"/>
        <rFont val="Calibri"/>
        <family val="2"/>
      </rPr>
      <t xml:space="preserve"> </t>
    </r>
    <r>
      <rPr>
        <sz val="9"/>
        <color theme="1"/>
        <rFont val="맑은 고딕"/>
        <family val="2"/>
      </rPr>
      <t>이동할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t>
    </r>
  </si>
  <si>
    <r>
      <rPr>
        <sz val="9"/>
        <color theme="1"/>
        <rFont val="맑은 고딕"/>
        <family val="2"/>
      </rPr>
      <t>더</t>
    </r>
    <r>
      <rPr>
        <sz val="9"/>
        <color theme="1"/>
        <rFont val="Calibri"/>
        <family val="2"/>
      </rPr>
      <t xml:space="preserve"> </t>
    </r>
    <r>
      <rPr>
        <sz val="9"/>
        <color theme="1"/>
        <rFont val="맑은 고딕"/>
        <family val="2"/>
      </rPr>
      <t>이상</t>
    </r>
    <r>
      <rPr>
        <sz val="9"/>
        <color theme="1"/>
        <rFont val="Calibri"/>
        <family val="2"/>
      </rPr>
      <t xml:space="preserve"> </t>
    </r>
    <r>
      <rPr>
        <sz val="9"/>
        <color theme="1"/>
        <rFont val="맑은 고딕"/>
        <family val="2"/>
      </rPr>
      <t>왼쪽으로</t>
    </r>
    <r>
      <rPr>
        <sz val="9"/>
        <color theme="1"/>
        <rFont val="Calibri"/>
        <family val="2"/>
      </rPr>
      <t xml:space="preserve"> </t>
    </r>
    <r>
      <rPr>
        <sz val="9"/>
        <color theme="1"/>
        <rFont val="맑은 고딕"/>
        <family val="2"/>
      </rPr>
      <t>이동할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t>
    </r>
  </si>
  <si>
    <r>
      <t>Microsoft Outlook</t>
    </r>
    <r>
      <rPr>
        <sz val="9"/>
        <color theme="1"/>
        <rFont val="맑은 고딕"/>
        <family val="2"/>
      </rPr>
      <t>을</t>
    </r>
    <r>
      <rPr>
        <sz val="9"/>
        <color theme="1"/>
        <rFont val="Calibri"/>
        <family val="2"/>
      </rPr>
      <t xml:space="preserve"> </t>
    </r>
    <r>
      <rPr>
        <sz val="9"/>
        <color theme="1"/>
        <rFont val="맑은 고딕"/>
        <family val="2"/>
      </rPr>
      <t>사용할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.\n</t>
    </r>
    <r>
      <rPr>
        <sz val="9"/>
        <color theme="1"/>
        <rFont val="맑은 고딕"/>
        <family val="2"/>
      </rPr>
      <t>정상적으로</t>
    </r>
    <r>
      <rPr>
        <sz val="9"/>
        <color theme="1"/>
        <rFont val="Calibri"/>
        <family val="2"/>
      </rPr>
      <t xml:space="preserve"> </t>
    </r>
    <r>
      <rPr>
        <sz val="9"/>
        <color theme="1"/>
        <rFont val="맑은 고딕"/>
        <family val="2"/>
      </rPr>
      <t>설치되어</t>
    </r>
    <r>
      <rPr>
        <sz val="9"/>
        <color theme="1"/>
        <rFont val="Calibri"/>
        <family val="2"/>
      </rPr>
      <t xml:space="preserve"> </t>
    </r>
    <r>
      <rPr>
        <sz val="9"/>
        <color theme="1"/>
        <rFont val="맑은 고딕"/>
        <family val="2"/>
      </rPr>
      <t>있는지</t>
    </r>
    <r>
      <rPr>
        <sz val="9"/>
        <color theme="1"/>
        <rFont val="Calibri"/>
        <family val="2"/>
      </rPr>
      <t xml:space="preserve"> </t>
    </r>
    <r>
      <rPr>
        <sz val="9"/>
        <color theme="1"/>
        <rFont val="맑은 고딕"/>
        <family val="2"/>
      </rPr>
      <t>확인하세요</t>
    </r>
    <r>
      <rPr>
        <sz val="9"/>
        <color theme="1"/>
        <rFont val="Calibri"/>
        <family val="2"/>
      </rPr>
      <t>.</t>
    </r>
  </si>
  <si>
    <r>
      <rPr>
        <sz val="9"/>
        <color theme="1"/>
        <rFont val="맑은 고딕"/>
        <family val="2"/>
      </rPr>
      <t>일정을</t>
    </r>
    <r>
      <rPr>
        <sz val="9"/>
        <color theme="1"/>
        <rFont val="Calibri"/>
        <family val="2"/>
      </rPr>
      <t xml:space="preserve"> </t>
    </r>
    <r>
      <rPr>
        <sz val="9"/>
        <color theme="1"/>
        <rFont val="맑은 고딕"/>
        <family val="2"/>
      </rPr>
      <t>관리할</t>
    </r>
    <r>
      <rPr>
        <sz val="9"/>
        <color theme="1"/>
        <rFont val="Calibri"/>
        <family val="2"/>
      </rPr>
      <t xml:space="preserve"> </t>
    </r>
    <r>
      <rPr>
        <sz val="9"/>
        <color theme="1"/>
        <rFont val="맑은 고딕"/>
        <family val="2"/>
      </rPr>
      <t>때</t>
    </r>
    <r>
      <rPr>
        <sz val="9"/>
        <color theme="1"/>
        <rFont val="Calibri"/>
        <family val="2"/>
      </rPr>
      <t xml:space="preserve"> </t>
    </r>
    <r>
      <rPr>
        <sz val="9"/>
        <color theme="1"/>
        <rFont val="맑은 고딕"/>
        <family val="2"/>
      </rPr>
      <t>작업</t>
    </r>
    <r>
      <rPr>
        <sz val="9"/>
        <color theme="1"/>
        <rFont val="Calibri"/>
        <family val="2"/>
      </rPr>
      <t xml:space="preserve"> </t>
    </r>
    <r>
      <rPr>
        <sz val="9"/>
        <color theme="1"/>
        <rFont val="맑은 고딕"/>
        <family val="2"/>
      </rPr>
      <t>시작일</t>
    </r>
    <r>
      <rPr>
        <sz val="9"/>
        <color theme="1"/>
        <rFont val="Calibri"/>
        <family val="2"/>
      </rPr>
      <t>/</t>
    </r>
    <r>
      <rPr>
        <sz val="9"/>
        <color theme="1"/>
        <rFont val="맑은 고딕"/>
        <family val="2"/>
      </rPr>
      <t>완료일만</t>
    </r>
    <r>
      <rPr>
        <sz val="9"/>
        <color theme="1"/>
        <rFont val="Calibri"/>
        <family val="2"/>
      </rPr>
      <t xml:space="preserve"> </t>
    </r>
    <r>
      <rPr>
        <sz val="9"/>
        <color theme="1"/>
        <rFont val="맑은 고딕"/>
        <family val="2"/>
      </rPr>
      <t>사용합니다</t>
    </r>
    <r>
      <rPr>
        <sz val="9"/>
        <color theme="1"/>
        <rFont val="Calibri"/>
        <family val="2"/>
      </rPr>
      <t xml:space="preserve">. </t>
    </r>
    <r>
      <rPr>
        <sz val="9"/>
        <color theme="1"/>
        <rFont val="맑은 고딕"/>
        <family val="2"/>
      </rPr>
      <t>변경된</t>
    </r>
    <r>
      <rPr>
        <sz val="9"/>
        <color theme="1"/>
        <rFont val="Calibri"/>
        <family val="2"/>
      </rPr>
      <t xml:space="preserve"> </t>
    </r>
    <r>
      <rPr>
        <sz val="9"/>
        <color theme="1"/>
        <rFont val="맑은 고딕"/>
        <family val="2"/>
      </rPr>
      <t>일정은</t>
    </r>
    <r>
      <rPr>
        <sz val="9"/>
        <color theme="1"/>
        <rFont val="Calibri"/>
        <family val="2"/>
      </rPr>
      <t xml:space="preserve"> </t>
    </r>
    <r>
      <rPr>
        <sz val="9"/>
        <color theme="1"/>
        <rFont val="맑은 고딕"/>
        <family val="2"/>
      </rPr>
      <t>관리하지</t>
    </r>
    <r>
      <rPr>
        <sz val="9"/>
        <color theme="1"/>
        <rFont val="Calibri"/>
        <family val="2"/>
      </rPr>
      <t xml:space="preserve"> </t>
    </r>
    <r>
      <rPr>
        <sz val="9"/>
        <color theme="1"/>
        <rFont val="맑은 고딕"/>
        <family val="2"/>
      </rPr>
      <t>않습니다</t>
    </r>
    <r>
      <rPr>
        <sz val="9"/>
        <color theme="1"/>
        <rFont val="Calibri"/>
        <family val="2"/>
      </rPr>
      <t xml:space="preserve">. </t>
    </r>
    <r>
      <rPr>
        <sz val="9"/>
        <color theme="1"/>
        <rFont val="맑은 고딕"/>
        <family val="2"/>
      </rPr>
      <t>일정이</t>
    </r>
    <r>
      <rPr>
        <sz val="9"/>
        <color theme="1"/>
        <rFont val="Calibri"/>
        <family val="2"/>
      </rPr>
      <t xml:space="preserve"> </t>
    </r>
    <r>
      <rPr>
        <sz val="9"/>
        <color theme="1"/>
        <rFont val="맑은 고딕"/>
        <family val="2"/>
      </rPr>
      <t>변경되었을</t>
    </r>
    <r>
      <rPr>
        <sz val="9"/>
        <color theme="1"/>
        <rFont val="Calibri"/>
        <family val="2"/>
      </rPr>
      <t xml:space="preserve"> </t>
    </r>
    <r>
      <rPr>
        <sz val="9"/>
        <color theme="1"/>
        <rFont val="맑은 고딕"/>
        <family val="2"/>
      </rPr>
      <t>때는</t>
    </r>
    <r>
      <rPr>
        <sz val="9"/>
        <color theme="1"/>
        <rFont val="Calibri"/>
        <family val="2"/>
      </rPr>
      <t xml:space="preserve"> </t>
    </r>
    <r>
      <rPr>
        <sz val="9"/>
        <color theme="1"/>
        <rFont val="맑은 고딕"/>
        <family val="2"/>
      </rPr>
      <t>시작일과</t>
    </r>
    <r>
      <rPr>
        <sz val="9"/>
        <color theme="1"/>
        <rFont val="Calibri"/>
        <family val="2"/>
      </rPr>
      <t xml:space="preserve"> </t>
    </r>
    <r>
      <rPr>
        <sz val="9"/>
        <color theme="1"/>
        <rFont val="맑은 고딕"/>
        <family val="2"/>
      </rPr>
      <t>완료일을</t>
    </r>
    <r>
      <rPr>
        <sz val="9"/>
        <color theme="1"/>
        <rFont val="Calibri"/>
        <family val="2"/>
      </rPr>
      <t xml:space="preserve"> </t>
    </r>
    <r>
      <rPr>
        <sz val="9"/>
        <color theme="1"/>
        <rFont val="맑은 고딕"/>
        <family val="2"/>
      </rPr>
      <t>변경합니다</t>
    </r>
    <r>
      <rPr>
        <sz val="9"/>
        <color theme="1"/>
        <rFont val="Calibri"/>
        <family val="2"/>
      </rPr>
      <t xml:space="preserve">.  </t>
    </r>
  </si>
  <si>
    <r>
      <rPr>
        <sz val="9"/>
        <color theme="1"/>
        <rFont val="맑은 고딕"/>
        <family val="2"/>
      </rPr>
      <t>일정을</t>
    </r>
    <r>
      <rPr>
        <sz val="9"/>
        <color theme="1"/>
        <rFont val="Calibri"/>
        <family val="2"/>
      </rPr>
      <t xml:space="preserve"> </t>
    </r>
    <r>
      <rPr>
        <sz val="9"/>
        <color theme="1"/>
        <rFont val="맑은 고딕"/>
        <family val="2"/>
      </rPr>
      <t>관리할</t>
    </r>
    <r>
      <rPr>
        <sz val="9"/>
        <color theme="1"/>
        <rFont val="Calibri"/>
        <family val="2"/>
      </rPr>
      <t xml:space="preserve"> </t>
    </r>
    <r>
      <rPr>
        <sz val="9"/>
        <color theme="1"/>
        <rFont val="맑은 고딕"/>
        <family val="2"/>
      </rPr>
      <t>때</t>
    </r>
    <r>
      <rPr>
        <sz val="9"/>
        <color theme="1"/>
        <rFont val="Calibri"/>
        <family val="2"/>
      </rPr>
      <t xml:space="preserve"> </t>
    </r>
    <r>
      <rPr>
        <sz val="9"/>
        <color theme="1"/>
        <rFont val="맑은 고딕"/>
        <family val="2"/>
      </rPr>
      <t>작업</t>
    </r>
    <r>
      <rPr>
        <sz val="9"/>
        <color theme="1"/>
        <rFont val="Calibri"/>
        <family val="2"/>
      </rPr>
      <t xml:space="preserve"> </t>
    </r>
    <r>
      <rPr>
        <sz val="9"/>
        <color theme="1"/>
        <rFont val="맑은 고딕"/>
        <family val="2"/>
      </rPr>
      <t>시작일</t>
    </r>
    <r>
      <rPr>
        <sz val="9"/>
        <color theme="1"/>
        <rFont val="Calibri"/>
        <family val="2"/>
      </rPr>
      <t>/</t>
    </r>
    <r>
      <rPr>
        <sz val="9"/>
        <color theme="1"/>
        <rFont val="맑은 고딕"/>
        <family val="2"/>
      </rPr>
      <t>완료일</t>
    </r>
    <r>
      <rPr>
        <sz val="9"/>
        <color theme="1"/>
        <rFont val="Calibri"/>
        <family val="2"/>
      </rPr>
      <t xml:space="preserve">, </t>
    </r>
    <r>
      <rPr>
        <sz val="9"/>
        <color theme="1"/>
        <rFont val="맑은 고딕"/>
        <family val="2"/>
      </rPr>
      <t>실제시작일</t>
    </r>
    <r>
      <rPr>
        <sz val="9"/>
        <color theme="1"/>
        <rFont val="Calibri"/>
        <family val="2"/>
      </rPr>
      <t>/</t>
    </r>
    <r>
      <rPr>
        <sz val="9"/>
        <color theme="1"/>
        <rFont val="맑은 고딕"/>
        <family val="2"/>
      </rPr>
      <t>실제완료일을</t>
    </r>
    <r>
      <rPr>
        <sz val="9"/>
        <color theme="1"/>
        <rFont val="Calibri"/>
        <family val="2"/>
      </rPr>
      <t xml:space="preserve"> </t>
    </r>
    <r>
      <rPr>
        <sz val="9"/>
        <color theme="1"/>
        <rFont val="맑은 고딕"/>
        <family val="2"/>
      </rPr>
      <t>사용합니다</t>
    </r>
    <r>
      <rPr>
        <sz val="9"/>
        <color theme="1"/>
        <rFont val="Calibri"/>
        <family val="2"/>
      </rPr>
      <t xml:space="preserve">. </t>
    </r>
    <r>
      <rPr>
        <sz val="9"/>
        <color theme="1"/>
        <rFont val="맑은 고딕"/>
        <family val="2"/>
      </rPr>
      <t>실제</t>
    </r>
    <r>
      <rPr>
        <sz val="9"/>
        <color theme="1"/>
        <rFont val="Calibri"/>
        <family val="2"/>
      </rPr>
      <t xml:space="preserve"> </t>
    </r>
    <r>
      <rPr>
        <sz val="9"/>
        <color theme="1"/>
        <rFont val="맑은 고딕"/>
        <family val="2"/>
      </rPr>
      <t>시작된</t>
    </r>
    <r>
      <rPr>
        <sz val="9"/>
        <color theme="1"/>
        <rFont val="Calibri"/>
        <family val="2"/>
      </rPr>
      <t xml:space="preserve"> </t>
    </r>
    <r>
      <rPr>
        <sz val="9"/>
        <color theme="1"/>
        <rFont val="맑은 고딕"/>
        <family val="2"/>
      </rPr>
      <t>날짜와</t>
    </r>
    <r>
      <rPr>
        <sz val="9"/>
        <color theme="1"/>
        <rFont val="Calibri"/>
        <family val="2"/>
      </rPr>
      <t xml:space="preserve"> </t>
    </r>
    <r>
      <rPr>
        <sz val="9"/>
        <color theme="1"/>
        <rFont val="맑은 고딕"/>
        <family val="2"/>
      </rPr>
      <t>실제</t>
    </r>
    <r>
      <rPr>
        <sz val="9"/>
        <color theme="1"/>
        <rFont val="Calibri"/>
        <family val="2"/>
      </rPr>
      <t xml:space="preserve"> </t>
    </r>
    <r>
      <rPr>
        <sz val="9"/>
        <color theme="1"/>
        <rFont val="맑은 고딕"/>
        <family val="2"/>
      </rPr>
      <t>완료된</t>
    </r>
    <r>
      <rPr>
        <sz val="9"/>
        <color theme="1"/>
        <rFont val="Calibri"/>
        <family val="2"/>
      </rPr>
      <t xml:space="preserve"> </t>
    </r>
    <r>
      <rPr>
        <sz val="9"/>
        <color theme="1"/>
        <rFont val="맑은 고딕"/>
        <family val="2"/>
      </rPr>
      <t>날짜를</t>
    </r>
    <r>
      <rPr>
        <sz val="9"/>
        <color theme="1"/>
        <rFont val="Calibri"/>
        <family val="2"/>
      </rPr>
      <t xml:space="preserve"> </t>
    </r>
    <r>
      <rPr>
        <sz val="9"/>
        <color theme="1"/>
        <rFont val="맑은 고딕"/>
        <family val="2"/>
      </rPr>
      <t>입력하여</t>
    </r>
    <r>
      <rPr>
        <sz val="9"/>
        <color theme="1"/>
        <rFont val="Calibri"/>
        <family val="2"/>
      </rPr>
      <t xml:space="preserve"> </t>
    </r>
    <r>
      <rPr>
        <sz val="9"/>
        <color theme="1"/>
        <rFont val="맑은 고딕"/>
        <family val="2"/>
      </rPr>
      <t>일정이</t>
    </r>
    <r>
      <rPr>
        <sz val="9"/>
        <color theme="1"/>
        <rFont val="Calibri"/>
        <family val="2"/>
      </rPr>
      <t xml:space="preserve"> </t>
    </r>
    <r>
      <rPr>
        <sz val="9"/>
        <color theme="1"/>
        <rFont val="맑은 고딕"/>
        <family val="2"/>
      </rPr>
      <t>지연되었거나</t>
    </r>
    <r>
      <rPr>
        <sz val="9"/>
        <color theme="1"/>
        <rFont val="Calibri"/>
        <family val="2"/>
      </rPr>
      <t xml:space="preserve"> </t>
    </r>
    <r>
      <rPr>
        <sz val="9"/>
        <color theme="1"/>
        <rFont val="맑은 고딕"/>
        <family val="2"/>
      </rPr>
      <t>빨리</t>
    </r>
    <r>
      <rPr>
        <sz val="9"/>
        <color theme="1"/>
        <rFont val="Calibri"/>
        <family val="2"/>
      </rPr>
      <t xml:space="preserve"> </t>
    </r>
    <r>
      <rPr>
        <sz val="9"/>
        <color theme="1"/>
        <rFont val="맑은 고딕"/>
        <family val="2"/>
      </rPr>
      <t>진행된</t>
    </r>
    <r>
      <rPr>
        <sz val="9"/>
        <color theme="1"/>
        <rFont val="Calibri"/>
        <family val="2"/>
      </rPr>
      <t xml:space="preserve"> </t>
    </r>
    <r>
      <rPr>
        <sz val="9"/>
        <color theme="1"/>
        <rFont val="맑은 고딕"/>
        <family val="2"/>
      </rPr>
      <t>것을</t>
    </r>
    <r>
      <rPr>
        <sz val="9"/>
        <color theme="1"/>
        <rFont val="Calibri"/>
        <family val="2"/>
      </rPr>
      <t xml:space="preserve"> </t>
    </r>
    <r>
      <rPr>
        <sz val="9"/>
        <color theme="1"/>
        <rFont val="맑은 고딕"/>
        <family val="2"/>
      </rPr>
      <t>관리할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 xml:space="preserve">.  </t>
    </r>
  </si>
  <si>
    <r>
      <rPr>
        <sz val="9"/>
        <color theme="1"/>
        <rFont val="맑은 고딕"/>
        <family val="2"/>
      </rPr>
      <t>필드명이</t>
    </r>
    <r>
      <rPr>
        <sz val="9"/>
        <color theme="1"/>
        <rFont val="Calibri"/>
        <family val="2"/>
      </rPr>
      <t xml:space="preserve"> </t>
    </r>
    <r>
      <rPr>
        <sz val="9"/>
        <color theme="1"/>
        <rFont val="맑은 고딕"/>
        <family val="2"/>
      </rPr>
      <t>비어있는</t>
    </r>
    <r>
      <rPr>
        <sz val="9"/>
        <color theme="1"/>
        <rFont val="Calibri"/>
        <family val="2"/>
      </rPr>
      <t xml:space="preserve"> </t>
    </r>
    <r>
      <rPr>
        <sz val="9"/>
        <color theme="1"/>
        <rFont val="맑은 고딕"/>
        <family val="2"/>
      </rPr>
      <t>항목은</t>
    </r>
    <r>
      <rPr>
        <sz val="9"/>
        <color theme="1"/>
        <rFont val="Calibri"/>
        <family val="2"/>
      </rPr>
      <t xml:space="preserve"> </t>
    </r>
    <r>
      <rPr>
        <sz val="9"/>
        <color theme="1"/>
        <rFont val="맑은 고딕"/>
        <family val="2"/>
      </rPr>
      <t>선택할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t>
    </r>
  </si>
  <si>
    <r>
      <rPr>
        <sz val="9"/>
        <color theme="1"/>
        <rFont val="맑은 고딕"/>
        <family val="2"/>
      </rPr>
      <t>엑셀매크로</t>
    </r>
    <r>
      <rPr>
        <sz val="9"/>
        <color theme="1"/>
        <rFont val="Calibri"/>
        <family val="2"/>
      </rPr>
      <t xml:space="preserve"> </t>
    </r>
    <r>
      <rPr>
        <sz val="9"/>
        <color theme="1"/>
        <rFont val="맑은 고딕"/>
        <family val="2"/>
      </rPr>
      <t>파일은</t>
    </r>
    <r>
      <rPr>
        <sz val="9"/>
        <color theme="1"/>
        <rFont val="Calibri"/>
        <family val="2"/>
      </rPr>
      <t xml:space="preserve"> </t>
    </r>
    <r>
      <rPr>
        <sz val="9"/>
        <color theme="1"/>
        <rFont val="맑은 고딕"/>
        <family val="2"/>
      </rPr>
      <t>가져오기를</t>
    </r>
    <r>
      <rPr>
        <sz val="9"/>
        <color theme="1"/>
        <rFont val="Calibri"/>
        <family val="2"/>
      </rPr>
      <t xml:space="preserve"> </t>
    </r>
    <r>
      <rPr>
        <sz val="9"/>
        <color theme="1"/>
        <rFont val="맑은 고딕"/>
        <family val="2"/>
      </rPr>
      <t>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 xml:space="preserve">. xls </t>
    </r>
    <r>
      <rPr>
        <sz val="9"/>
        <color theme="1"/>
        <rFont val="맑은 고딕"/>
        <family val="2"/>
      </rPr>
      <t>또는</t>
    </r>
    <r>
      <rPr>
        <sz val="9"/>
        <color theme="1"/>
        <rFont val="Calibri"/>
        <family val="2"/>
      </rPr>
      <t xml:space="preserve"> xlsx</t>
    </r>
    <r>
      <rPr>
        <sz val="9"/>
        <color theme="1"/>
        <rFont val="맑은 고딕"/>
        <family val="2"/>
      </rPr>
      <t>파일로</t>
    </r>
    <r>
      <rPr>
        <sz val="9"/>
        <color theme="1"/>
        <rFont val="Calibri"/>
        <family val="2"/>
      </rPr>
      <t xml:space="preserve"> </t>
    </r>
    <r>
      <rPr>
        <sz val="9"/>
        <color theme="1"/>
        <rFont val="맑은 고딕"/>
        <family val="2"/>
      </rPr>
      <t>저장하여</t>
    </r>
    <r>
      <rPr>
        <sz val="9"/>
        <color theme="1"/>
        <rFont val="Calibri"/>
        <family val="2"/>
      </rPr>
      <t xml:space="preserve"> </t>
    </r>
    <r>
      <rPr>
        <sz val="9"/>
        <color theme="1"/>
        <rFont val="맑은 고딕"/>
        <family val="2"/>
      </rPr>
      <t>작업하시기</t>
    </r>
    <r>
      <rPr>
        <sz val="9"/>
        <color theme="1"/>
        <rFont val="Calibri"/>
        <family val="2"/>
      </rPr>
      <t xml:space="preserve"> </t>
    </r>
    <r>
      <rPr>
        <sz val="9"/>
        <color theme="1"/>
        <rFont val="맑은 고딕"/>
        <family val="2"/>
      </rPr>
      <t>바랍니다</t>
    </r>
    <r>
      <rPr>
        <sz val="9"/>
        <color theme="1"/>
        <rFont val="Calibri"/>
        <family val="2"/>
      </rPr>
      <t xml:space="preserve">. </t>
    </r>
    <r>
      <rPr>
        <sz val="9"/>
        <color theme="1"/>
        <rFont val="맑은 고딕"/>
        <family val="2"/>
      </rPr>
      <t>만약</t>
    </r>
    <r>
      <rPr>
        <sz val="9"/>
        <color theme="1"/>
        <rFont val="Calibri"/>
        <family val="2"/>
      </rPr>
      <t xml:space="preserve"> XLGantt</t>
    </r>
    <r>
      <rPr>
        <sz val="9"/>
        <color theme="1"/>
        <rFont val="맑은 고딕"/>
        <family val="2"/>
      </rPr>
      <t>파일인</t>
    </r>
    <r>
      <rPr>
        <sz val="9"/>
        <color theme="1"/>
        <rFont val="Calibri"/>
        <family val="2"/>
      </rPr>
      <t xml:space="preserve"> </t>
    </r>
    <r>
      <rPr>
        <sz val="9"/>
        <color theme="1"/>
        <rFont val="맑은 고딕"/>
        <family val="2"/>
      </rPr>
      <t>경우에는</t>
    </r>
    <r>
      <rPr>
        <sz val="9"/>
        <color theme="1"/>
        <rFont val="Calibri"/>
        <family val="2"/>
      </rPr>
      <t xml:space="preserve"> "XLGantt</t>
    </r>
    <r>
      <rPr>
        <sz val="9"/>
        <color theme="1"/>
        <rFont val="맑은 고딕"/>
        <family val="2"/>
      </rPr>
      <t>로</t>
    </r>
    <r>
      <rPr>
        <sz val="9"/>
        <color theme="1"/>
        <rFont val="Calibri"/>
        <family val="2"/>
      </rPr>
      <t xml:space="preserve"> </t>
    </r>
    <r>
      <rPr>
        <sz val="9"/>
        <color theme="1"/>
        <rFont val="맑은 고딕"/>
        <family val="2"/>
      </rPr>
      <t>작성된</t>
    </r>
    <r>
      <rPr>
        <sz val="9"/>
        <color theme="1"/>
        <rFont val="Calibri"/>
        <family val="2"/>
      </rPr>
      <t xml:space="preserve"> </t>
    </r>
    <r>
      <rPr>
        <sz val="9"/>
        <color theme="1"/>
        <rFont val="맑은 고딕"/>
        <family val="2"/>
      </rPr>
      <t>파일</t>
    </r>
    <r>
      <rPr>
        <sz val="9"/>
        <color theme="1"/>
        <rFont val="Calibri"/>
        <family val="2"/>
      </rPr>
      <t xml:space="preserve"> </t>
    </r>
    <r>
      <rPr>
        <sz val="9"/>
        <color theme="1"/>
        <rFont val="맑은 고딕"/>
        <family val="2"/>
      </rPr>
      <t>가져오기</t>
    </r>
    <r>
      <rPr>
        <sz val="9"/>
        <color theme="1"/>
        <rFont val="Calibri"/>
        <family val="2"/>
      </rPr>
      <t>"</t>
    </r>
    <r>
      <rPr>
        <sz val="9"/>
        <color theme="1"/>
        <rFont val="맑은 고딕"/>
        <family val="2"/>
      </rPr>
      <t>에서</t>
    </r>
    <r>
      <rPr>
        <sz val="9"/>
        <color theme="1"/>
        <rFont val="Calibri"/>
        <family val="2"/>
      </rPr>
      <t xml:space="preserve"> </t>
    </r>
    <r>
      <rPr>
        <sz val="9"/>
        <color theme="1"/>
        <rFont val="맑은 고딕"/>
        <family val="2"/>
      </rPr>
      <t>작업</t>
    </r>
    <r>
      <rPr>
        <sz val="9"/>
        <color theme="1"/>
        <rFont val="Calibri"/>
        <family val="2"/>
      </rPr>
      <t xml:space="preserve"> </t>
    </r>
    <r>
      <rPr>
        <sz val="9"/>
        <color theme="1"/>
        <rFont val="맑은 고딕"/>
        <family val="2"/>
      </rPr>
      <t>가능합니다</t>
    </r>
  </si>
  <si>
    <r>
      <rPr>
        <sz val="9"/>
        <color theme="1"/>
        <rFont val="맑은 고딕"/>
        <family val="2"/>
      </rPr>
      <t>기본언어인</t>
    </r>
    <r>
      <rPr>
        <sz val="9"/>
        <color theme="1"/>
        <rFont val="Calibri"/>
        <family val="2"/>
      </rPr>
      <t xml:space="preserve"> English</t>
    </r>
    <r>
      <rPr>
        <sz val="9"/>
        <color theme="1"/>
        <rFont val="맑은 고딕"/>
        <family val="2"/>
      </rPr>
      <t>와</t>
    </r>
    <r>
      <rPr>
        <sz val="9"/>
        <color theme="1"/>
        <rFont val="Calibri"/>
        <family val="2"/>
      </rPr>
      <t xml:space="preserve"> Korean</t>
    </r>
    <r>
      <rPr>
        <sz val="9"/>
        <color theme="1"/>
        <rFont val="맑은 고딕"/>
        <family val="2"/>
      </rPr>
      <t>은</t>
    </r>
    <r>
      <rPr>
        <sz val="9"/>
        <color theme="1"/>
        <rFont val="Calibri"/>
        <family val="2"/>
      </rPr>
      <t xml:space="preserve"> </t>
    </r>
    <r>
      <rPr>
        <sz val="9"/>
        <color theme="1"/>
        <rFont val="맑은 고딕"/>
        <family val="2"/>
      </rPr>
      <t>삭제할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t>
    </r>
  </si>
  <si>
    <r>
      <rPr>
        <sz val="9"/>
        <color theme="1"/>
        <rFont val="맑은 고딕"/>
        <family val="2"/>
      </rPr>
      <t>언어가</t>
    </r>
    <r>
      <rPr>
        <sz val="9"/>
        <color theme="1"/>
        <rFont val="Calibri"/>
        <family val="2"/>
      </rPr>
      <t xml:space="preserve"> </t>
    </r>
    <r>
      <rPr>
        <sz val="9"/>
        <color theme="1"/>
        <rFont val="맑은 고딕"/>
        <family val="2"/>
      </rPr>
      <t>선택되지</t>
    </r>
    <r>
      <rPr>
        <sz val="9"/>
        <color theme="1"/>
        <rFont val="Calibri"/>
        <family val="2"/>
      </rPr>
      <t xml:space="preserve"> </t>
    </r>
    <r>
      <rPr>
        <sz val="9"/>
        <color theme="1"/>
        <rFont val="맑은 고딕"/>
        <family val="2"/>
      </rPr>
      <t>않았습니다</t>
    </r>
    <r>
      <rPr>
        <sz val="9"/>
        <color theme="1"/>
        <rFont val="Calibri"/>
        <family val="2"/>
      </rPr>
      <t>.</t>
    </r>
  </si>
  <si>
    <r>
      <t>Source</t>
    </r>
    <r>
      <rPr>
        <sz val="9"/>
        <color theme="1"/>
        <rFont val="맑은 고딕"/>
        <family val="2"/>
      </rPr>
      <t>항목이</t>
    </r>
    <r>
      <rPr>
        <sz val="9"/>
        <color theme="1"/>
        <rFont val="Calibri"/>
        <family val="2"/>
      </rPr>
      <t xml:space="preserve"> </t>
    </r>
    <r>
      <rPr>
        <sz val="9"/>
        <color theme="1"/>
        <rFont val="맑은 고딕"/>
        <family val="2"/>
      </rPr>
      <t>선택되지</t>
    </r>
    <r>
      <rPr>
        <sz val="9"/>
        <color theme="1"/>
        <rFont val="Calibri"/>
        <family val="2"/>
      </rPr>
      <t xml:space="preserve"> </t>
    </r>
    <r>
      <rPr>
        <sz val="9"/>
        <color theme="1"/>
        <rFont val="맑은 고딕"/>
        <family val="2"/>
      </rPr>
      <t>않았습니다</t>
    </r>
    <r>
      <rPr>
        <sz val="9"/>
        <color theme="1"/>
        <rFont val="Calibri"/>
        <family val="2"/>
      </rPr>
      <t>.</t>
    </r>
  </si>
  <si>
    <r>
      <t>Target</t>
    </r>
    <r>
      <rPr>
        <sz val="9"/>
        <color theme="1"/>
        <rFont val="맑은 고딕"/>
        <family val="2"/>
      </rPr>
      <t>항목이</t>
    </r>
    <r>
      <rPr>
        <sz val="9"/>
        <color theme="1"/>
        <rFont val="Calibri"/>
        <family val="2"/>
      </rPr>
      <t xml:space="preserve"> </t>
    </r>
    <r>
      <rPr>
        <sz val="9"/>
        <color theme="1"/>
        <rFont val="맑은 고딕"/>
        <family val="2"/>
      </rPr>
      <t>선택되지</t>
    </r>
    <r>
      <rPr>
        <sz val="9"/>
        <color theme="1"/>
        <rFont val="Calibri"/>
        <family val="2"/>
      </rPr>
      <t xml:space="preserve"> </t>
    </r>
    <r>
      <rPr>
        <sz val="9"/>
        <color theme="1"/>
        <rFont val="맑은 고딕"/>
        <family val="2"/>
      </rPr>
      <t>않았습니다</t>
    </r>
    <r>
      <rPr>
        <sz val="9"/>
        <color theme="1"/>
        <rFont val="Calibri"/>
        <family val="2"/>
      </rPr>
      <t>.</t>
    </r>
  </si>
  <si>
    <r>
      <t>Mapping</t>
    </r>
    <r>
      <rPr>
        <sz val="9"/>
        <color theme="1"/>
        <rFont val="맑은 고딕"/>
        <family val="2"/>
      </rPr>
      <t>취소항목이</t>
    </r>
    <r>
      <rPr>
        <sz val="9"/>
        <color theme="1"/>
        <rFont val="Calibri"/>
        <family val="2"/>
      </rPr>
      <t xml:space="preserve"> </t>
    </r>
    <r>
      <rPr>
        <sz val="9"/>
        <color theme="1"/>
        <rFont val="맑은 고딕"/>
        <family val="2"/>
      </rPr>
      <t>선택되지</t>
    </r>
    <r>
      <rPr>
        <sz val="9"/>
        <color theme="1"/>
        <rFont val="Calibri"/>
        <family val="2"/>
      </rPr>
      <t xml:space="preserve"> </t>
    </r>
    <r>
      <rPr>
        <sz val="9"/>
        <color theme="1"/>
        <rFont val="맑은 고딕"/>
        <family val="2"/>
      </rPr>
      <t>않았습니다</t>
    </r>
    <r>
      <rPr>
        <sz val="9"/>
        <color theme="1"/>
        <rFont val="Calibri"/>
        <family val="2"/>
      </rPr>
      <t>.</t>
    </r>
  </si>
  <si>
    <r>
      <rPr>
        <sz val="9"/>
        <color theme="1"/>
        <rFont val="맑은 고딕"/>
        <family val="2"/>
      </rPr>
      <t>한곳만</t>
    </r>
    <r>
      <rPr>
        <sz val="9"/>
        <color theme="1"/>
        <rFont val="Calibri"/>
        <family val="2"/>
      </rPr>
      <t xml:space="preserve"> </t>
    </r>
    <r>
      <rPr>
        <sz val="9"/>
        <color theme="1"/>
        <rFont val="맑은 고딕"/>
        <family val="2"/>
      </rPr>
      <t>선택하세요</t>
    </r>
    <r>
      <rPr>
        <sz val="9"/>
        <color theme="1"/>
        <rFont val="Calibri"/>
        <family val="2"/>
      </rPr>
      <t xml:space="preserve">. </t>
    </r>
    <r>
      <rPr>
        <sz val="9"/>
        <color theme="1"/>
        <rFont val="맑은 고딕"/>
        <family val="2"/>
      </rPr>
      <t>현재</t>
    </r>
    <r>
      <rPr>
        <sz val="9"/>
        <color theme="1"/>
        <rFont val="Calibri"/>
        <family val="2"/>
      </rPr>
      <t xml:space="preserve"> {}</t>
    </r>
    <r>
      <rPr>
        <sz val="9"/>
        <color theme="1"/>
        <rFont val="맑은 고딕"/>
        <family val="2"/>
      </rPr>
      <t>곳이</t>
    </r>
    <r>
      <rPr>
        <sz val="9"/>
        <color theme="1"/>
        <rFont val="Calibri"/>
        <family val="2"/>
      </rPr>
      <t xml:space="preserve"> </t>
    </r>
    <r>
      <rPr>
        <sz val="9"/>
        <color theme="1"/>
        <rFont val="맑은 고딕"/>
        <family val="2"/>
      </rPr>
      <t>선택되었습니다</t>
    </r>
    <r>
      <rPr>
        <sz val="9"/>
        <color theme="1"/>
        <rFont val="Calibri"/>
        <family val="2"/>
      </rPr>
      <t>.</t>
    </r>
  </si>
  <si>
    <t>프로젝트 착수 및 계획수립</t>
  </si>
  <si>
    <t>프로젝트 범위정의</t>
  </si>
  <si>
    <r>
      <t>2018</t>
    </r>
    <r>
      <rPr>
        <sz val="11"/>
        <rFont val="맑은 고딕"/>
        <family val="3"/>
        <charset val="129"/>
      </rPr>
      <t>년</t>
    </r>
    <r>
      <rPr>
        <sz val="11"/>
        <rFont val="Calibri"/>
        <family val="2"/>
      </rPr>
      <t xml:space="preserve"> </t>
    </r>
    <r>
      <rPr>
        <sz val="11"/>
        <rFont val="맑은 고딕"/>
        <family val="3"/>
        <charset val="129"/>
      </rPr>
      <t>어린이날</t>
    </r>
    <r>
      <rPr>
        <sz val="11"/>
        <rFont val="Calibri"/>
        <family val="2"/>
      </rPr>
      <t xml:space="preserve"> </t>
    </r>
    <r>
      <rPr>
        <sz val="11"/>
        <rFont val="맑은 고딕"/>
        <family val="3"/>
        <charset val="129"/>
      </rPr>
      <t>대체휴일</t>
    </r>
    <phoneticPr fontId="2" type="noConversion"/>
  </si>
  <si>
    <r>
      <t>2018</t>
    </r>
    <r>
      <rPr>
        <sz val="11"/>
        <rFont val="맑은 고딕"/>
        <family val="3"/>
        <charset val="129"/>
      </rPr>
      <t>년</t>
    </r>
    <r>
      <rPr>
        <sz val="11"/>
        <rFont val="Calibri"/>
        <family val="2"/>
      </rPr>
      <t xml:space="preserve"> </t>
    </r>
    <r>
      <rPr>
        <sz val="11"/>
        <rFont val="맑은 고딕"/>
        <family val="3"/>
        <charset val="129"/>
      </rPr>
      <t>부처님오신날</t>
    </r>
    <phoneticPr fontId="2" type="noConversion"/>
  </si>
  <si>
    <r>
      <t>2018</t>
    </r>
    <r>
      <rPr>
        <sz val="11"/>
        <rFont val="맑은 고딕"/>
        <family val="3"/>
        <charset val="129"/>
      </rPr>
      <t>년</t>
    </r>
    <r>
      <rPr>
        <sz val="11"/>
        <rFont val="Calibri"/>
        <family val="2"/>
      </rPr>
      <t xml:space="preserve"> </t>
    </r>
    <r>
      <rPr>
        <sz val="11"/>
        <rFont val="맑은 고딕"/>
        <family val="3"/>
        <charset val="129"/>
      </rPr>
      <t>현충일</t>
    </r>
    <phoneticPr fontId="2" type="noConversion"/>
  </si>
  <si>
    <r>
      <t>2018</t>
    </r>
    <r>
      <rPr>
        <sz val="11"/>
        <rFont val="맑은 고딕"/>
        <family val="3"/>
        <charset val="129"/>
      </rPr>
      <t>년</t>
    </r>
    <r>
      <rPr>
        <sz val="11"/>
        <rFont val="Calibri"/>
        <family val="2"/>
      </rPr>
      <t xml:space="preserve"> </t>
    </r>
    <r>
      <rPr>
        <sz val="11"/>
        <rFont val="맑은 고딕"/>
        <family val="3"/>
        <charset val="129"/>
      </rPr>
      <t>광복절</t>
    </r>
    <phoneticPr fontId="2" type="noConversion"/>
  </si>
  <si>
    <r>
      <t>2018</t>
    </r>
    <r>
      <rPr>
        <sz val="11"/>
        <rFont val="맑은 고딕"/>
        <family val="3"/>
        <charset val="129"/>
      </rPr>
      <t>년</t>
    </r>
    <r>
      <rPr>
        <sz val="11"/>
        <rFont val="Calibri"/>
        <family val="2"/>
      </rPr>
      <t xml:space="preserve"> </t>
    </r>
    <r>
      <rPr>
        <sz val="11"/>
        <rFont val="맑은 고딕"/>
        <family val="3"/>
        <charset val="129"/>
      </rPr>
      <t>추석</t>
    </r>
    <phoneticPr fontId="2" type="noConversion"/>
  </si>
  <si>
    <r>
      <t>2018</t>
    </r>
    <r>
      <rPr>
        <sz val="11"/>
        <rFont val="맑은 고딕"/>
        <family val="3"/>
        <charset val="129"/>
      </rPr>
      <t>년</t>
    </r>
    <r>
      <rPr>
        <sz val="11"/>
        <rFont val="Calibri"/>
        <family val="2"/>
      </rPr>
      <t xml:space="preserve"> </t>
    </r>
    <r>
      <rPr>
        <sz val="11"/>
        <rFont val="맑은 고딕"/>
        <family val="3"/>
        <charset val="129"/>
      </rPr>
      <t>추석연휴</t>
    </r>
    <phoneticPr fontId="2" type="noConversion"/>
  </si>
  <si>
    <r>
      <t>2018</t>
    </r>
    <r>
      <rPr>
        <sz val="11"/>
        <rFont val="맑은 고딕"/>
        <family val="3"/>
        <charset val="129"/>
      </rPr>
      <t>년</t>
    </r>
    <r>
      <rPr>
        <sz val="11"/>
        <rFont val="Calibri"/>
        <family val="2"/>
      </rPr>
      <t xml:space="preserve"> </t>
    </r>
    <r>
      <rPr>
        <sz val="11"/>
        <rFont val="맑은 고딕"/>
        <family val="3"/>
        <charset val="129"/>
      </rPr>
      <t>추석</t>
    </r>
    <r>
      <rPr>
        <sz val="11"/>
        <rFont val="Calibri"/>
        <family val="2"/>
      </rPr>
      <t xml:space="preserve"> </t>
    </r>
    <r>
      <rPr>
        <sz val="11"/>
        <rFont val="맑은 고딕"/>
        <family val="3"/>
        <charset val="129"/>
      </rPr>
      <t>대체휴일</t>
    </r>
    <phoneticPr fontId="2" type="noConversion"/>
  </si>
  <si>
    <r>
      <t>2018</t>
    </r>
    <r>
      <rPr>
        <sz val="11"/>
        <rFont val="맑은 고딕"/>
        <family val="3"/>
        <charset val="129"/>
      </rPr>
      <t>년</t>
    </r>
    <r>
      <rPr>
        <sz val="11"/>
        <rFont val="Calibri"/>
        <family val="2"/>
      </rPr>
      <t xml:space="preserve"> </t>
    </r>
    <r>
      <rPr>
        <sz val="11"/>
        <rFont val="맑은 고딕"/>
        <family val="3"/>
        <charset val="129"/>
      </rPr>
      <t>개천절</t>
    </r>
    <phoneticPr fontId="2" type="noConversion"/>
  </si>
  <si>
    <r>
      <t>2018</t>
    </r>
    <r>
      <rPr>
        <sz val="11"/>
        <rFont val="맑은 고딕"/>
        <family val="3"/>
        <charset val="129"/>
      </rPr>
      <t>년</t>
    </r>
    <r>
      <rPr>
        <sz val="11"/>
        <rFont val="Calibri"/>
        <family val="2"/>
      </rPr>
      <t xml:space="preserve"> </t>
    </r>
    <r>
      <rPr>
        <sz val="11"/>
        <rFont val="맑은 고딕"/>
        <family val="3"/>
        <charset val="129"/>
      </rPr>
      <t>한글날</t>
    </r>
    <phoneticPr fontId="2" type="noConversion"/>
  </si>
  <si>
    <r>
      <t>2018</t>
    </r>
    <r>
      <rPr>
        <sz val="11"/>
        <rFont val="맑은 고딕"/>
        <family val="3"/>
        <charset val="129"/>
      </rPr>
      <t>년</t>
    </r>
    <r>
      <rPr>
        <sz val="11"/>
        <rFont val="Calibri"/>
        <family val="2"/>
      </rPr>
      <t xml:space="preserve"> </t>
    </r>
    <r>
      <rPr>
        <sz val="11"/>
        <rFont val="맑은 고딕"/>
        <family val="3"/>
        <charset val="129"/>
      </rPr>
      <t>성탄절</t>
    </r>
    <phoneticPr fontId="2" type="noConversion"/>
  </si>
  <si>
    <r>
      <rPr>
        <sz val="9"/>
        <color theme="1"/>
        <rFont val="돋움"/>
        <family val="3"/>
        <charset val="129"/>
      </rPr>
      <t>계획</t>
    </r>
    <r>
      <rPr>
        <sz val="9"/>
        <color theme="1"/>
        <rFont val="Calibri"/>
        <family val="2"/>
      </rPr>
      <t>__</t>
    </r>
    <r>
      <rPr>
        <sz val="9"/>
        <color theme="1"/>
        <rFont val="돋움"/>
        <family val="3"/>
        <charset val="129"/>
      </rPr>
      <t>기간</t>
    </r>
    <phoneticPr fontId="8" type="noConversion"/>
  </si>
  <si>
    <t>Total__Duration</t>
    <phoneticPr fontId="8" type="noConversion"/>
  </si>
  <si>
    <r>
      <rPr>
        <sz val="9"/>
        <color theme="1"/>
        <rFont val="돋움"/>
        <family val="3"/>
        <charset val="129"/>
      </rPr>
      <t>총</t>
    </r>
    <r>
      <rPr>
        <sz val="9"/>
        <color theme="1"/>
        <rFont val="Calibri"/>
        <family val="2"/>
      </rPr>
      <t>__</t>
    </r>
    <r>
      <rPr>
        <sz val="9"/>
        <color theme="1"/>
        <rFont val="돋움"/>
        <family val="3"/>
        <charset val="129"/>
      </rPr>
      <t>작업량</t>
    </r>
    <phoneticPr fontId="8" type="noConversion"/>
  </si>
  <si>
    <t>Saturdays, Sundays and the dates entered in the Calendar sheet_x000D_</t>
    <phoneticPr fontId="2" type="noConversion"/>
  </si>
  <si>
    <t>Actual__Total Work</t>
    <phoneticPr fontId="8" type="noConversion"/>
  </si>
  <si>
    <r>
      <rPr>
        <sz val="9"/>
        <color theme="1"/>
        <rFont val="맑은 고딕"/>
        <family val="2"/>
      </rPr>
      <t>실제_x000D_</t>
    </r>
    <r>
      <rPr>
        <sz val="9"/>
        <color theme="1"/>
        <rFont val="Calibri"/>
        <family val="2"/>
      </rPr>
      <t>\n</t>
    </r>
    <r>
      <rPr>
        <sz val="9"/>
        <color theme="1"/>
        <rFont val="맑은 고딕"/>
        <family val="2"/>
      </rPr>
      <t>시작일</t>
    </r>
    <r>
      <rPr>
        <sz val="9"/>
        <color theme="1"/>
        <rFont val="Calibri"/>
        <family val="2"/>
      </rPr>
      <t>-</t>
    </r>
    <r>
      <rPr>
        <sz val="9"/>
        <color theme="1"/>
        <rFont val="맑은 고딕"/>
        <family val="2"/>
      </rPr>
      <t>완료일</t>
    </r>
    <phoneticPr fontId="2" type="noConversion"/>
  </si>
  <si>
    <r>
      <t>계획</t>
    </r>
    <r>
      <rPr>
        <sz val="10"/>
        <color theme="1"/>
        <rFont val="Calibri"/>
        <family val="2"/>
      </rPr>
      <t>\n</t>
    </r>
    <r>
      <rPr>
        <sz val="10"/>
        <color theme="1"/>
        <rFont val="돋움"/>
        <family val="3"/>
        <charset val="129"/>
      </rPr>
      <t>기간</t>
    </r>
  </si>
  <si>
    <r>
      <t>실제</t>
    </r>
    <r>
      <rPr>
        <sz val="10"/>
        <color theme="1"/>
        <rFont val="Calibri"/>
        <family val="2"/>
      </rPr>
      <t>\n</t>
    </r>
    <r>
      <rPr>
        <sz val="10"/>
        <color theme="1"/>
        <rFont val="돋움"/>
        <family val="3"/>
        <charset val="129"/>
      </rPr>
      <t>총기간</t>
    </r>
  </si>
  <si>
    <r>
      <t>총</t>
    </r>
    <r>
      <rPr>
        <sz val="10"/>
        <color theme="1"/>
        <rFont val="Calibri"/>
        <family val="2"/>
      </rPr>
      <t>\n</t>
    </r>
    <r>
      <rPr>
        <sz val="10"/>
        <color theme="1"/>
        <rFont val="돋움"/>
        <family val="3"/>
        <charset val="129"/>
      </rPr>
      <t>기간</t>
    </r>
  </si>
  <si>
    <t>Reserved</t>
    <phoneticPr fontId="8" type="noConversion"/>
  </si>
  <si>
    <t>Text Index</t>
    <phoneticPr fontId="8" type="noConversion"/>
  </si>
  <si>
    <t>Description</t>
    <phoneticPr fontId="8" type="noConversion"/>
  </si>
  <si>
    <t>* Currently we support only English and Korean as user interface (UI) languages at XLGantt. If you want to use another language as your UI language, add it using the "Add Languages" menu. Add a translation for each language in the "TranslatedLanguages" sheet. (The TranslatedLanguages sheet is hidden. You can unhide it on the sheet menu.) If you do not add the translation, English is used as the UI language.</t>
    <phoneticPr fontId="2" type="noConversion"/>
  </si>
  <si>
    <r>
      <rPr>
        <sz val="9"/>
        <color theme="1"/>
        <rFont val="맑은 고딕"/>
        <family val="2"/>
      </rPr>
      <t>여기에는</t>
    </r>
    <r>
      <rPr>
        <sz val="9"/>
        <color theme="1"/>
        <rFont val="Calibri"/>
        <family val="2"/>
      </rPr>
      <t xml:space="preserve"> </t>
    </r>
    <r>
      <rPr>
        <sz val="9"/>
        <color theme="1"/>
        <rFont val="맑은 고딕"/>
        <family val="2"/>
      </rPr>
      <t>프로젝트의</t>
    </r>
    <r>
      <rPr>
        <sz val="9"/>
        <color theme="1"/>
        <rFont val="Calibri"/>
        <family val="2"/>
      </rPr>
      <t xml:space="preserve"> </t>
    </r>
    <r>
      <rPr>
        <sz val="9"/>
        <color theme="1"/>
        <rFont val="맑은 고딕"/>
        <family val="2"/>
      </rPr>
      <t>휴무일만</t>
    </r>
    <r>
      <rPr>
        <sz val="9"/>
        <color theme="1"/>
        <rFont val="Calibri"/>
        <family val="2"/>
      </rPr>
      <t xml:space="preserve"> </t>
    </r>
    <r>
      <rPr>
        <sz val="9"/>
        <color theme="1"/>
        <rFont val="맑은 고딕"/>
        <family val="2"/>
      </rPr>
      <t>입력하세요</t>
    </r>
    <r>
      <rPr>
        <sz val="9"/>
        <color theme="1"/>
        <rFont val="Calibri"/>
        <family val="2"/>
      </rPr>
      <t>.</t>
    </r>
    <r>
      <rPr>
        <sz val="9"/>
        <color theme="1"/>
        <rFont val="맑은 고딕"/>
        <family val="2"/>
      </rPr>
      <t>휴무일을</t>
    </r>
    <r>
      <rPr>
        <sz val="9"/>
        <color theme="1"/>
        <rFont val="Calibri"/>
        <family val="2"/>
      </rPr>
      <t xml:space="preserve"> </t>
    </r>
    <r>
      <rPr>
        <sz val="9"/>
        <color theme="1"/>
        <rFont val="맑은 고딕"/>
        <family val="2"/>
      </rPr>
      <t>제외한</t>
    </r>
    <r>
      <rPr>
        <sz val="9"/>
        <color theme="1"/>
        <rFont val="Calibri"/>
        <family val="2"/>
      </rPr>
      <t xml:space="preserve"> </t>
    </r>
    <r>
      <rPr>
        <sz val="9"/>
        <color theme="1"/>
        <rFont val="맑은 고딕"/>
        <family val="2"/>
      </rPr>
      <t>날짜는</t>
    </r>
    <r>
      <rPr>
        <sz val="9"/>
        <color theme="1"/>
        <rFont val="Calibri"/>
        <family val="2"/>
      </rPr>
      <t xml:space="preserve"> </t>
    </r>
    <r>
      <rPr>
        <sz val="9"/>
        <color theme="1"/>
        <rFont val="맑은 고딕"/>
        <family val="2"/>
      </rPr>
      <t>근무일자로</t>
    </r>
    <r>
      <rPr>
        <sz val="9"/>
        <color theme="1"/>
        <rFont val="Calibri"/>
        <family val="2"/>
      </rPr>
      <t xml:space="preserve"> </t>
    </r>
    <r>
      <rPr>
        <sz val="9"/>
        <color theme="1"/>
        <rFont val="맑은 고딕"/>
        <family val="2"/>
      </rPr>
      <t>설정됩니다</t>
    </r>
    <r>
      <rPr>
        <sz val="9"/>
        <color theme="1"/>
        <rFont val="Calibri"/>
        <family val="2"/>
      </rPr>
      <t>. \n</t>
    </r>
    <r>
      <rPr>
        <sz val="9"/>
        <color theme="1"/>
        <rFont val="맑은 고딕"/>
        <family val="2"/>
      </rPr>
      <t>휴무일을</t>
    </r>
    <r>
      <rPr>
        <sz val="9"/>
        <color theme="1"/>
        <rFont val="Calibri"/>
        <family val="2"/>
      </rPr>
      <t xml:space="preserve"> </t>
    </r>
    <r>
      <rPr>
        <sz val="9"/>
        <color theme="1"/>
        <rFont val="맑은 고딕"/>
        <family val="2"/>
      </rPr>
      <t>입력해야</t>
    </r>
    <r>
      <rPr>
        <sz val="9"/>
        <color theme="1"/>
        <rFont val="Calibri"/>
        <family val="2"/>
      </rPr>
      <t xml:space="preserve"> </t>
    </r>
    <r>
      <rPr>
        <sz val="9"/>
        <color theme="1"/>
        <rFont val="맑은 고딕"/>
        <family val="2"/>
      </rPr>
      <t>작업기간</t>
    </r>
    <r>
      <rPr>
        <sz val="9"/>
        <color theme="1"/>
        <rFont val="Calibri"/>
        <family val="2"/>
      </rPr>
      <t xml:space="preserve"> </t>
    </r>
    <r>
      <rPr>
        <sz val="9"/>
        <color theme="1"/>
        <rFont val="맑은 고딕"/>
        <family val="2"/>
      </rPr>
      <t>계산시</t>
    </r>
    <r>
      <rPr>
        <sz val="9"/>
        <color theme="1"/>
        <rFont val="Calibri"/>
        <family val="2"/>
      </rPr>
      <t xml:space="preserve"> </t>
    </r>
    <r>
      <rPr>
        <sz val="9"/>
        <color theme="1"/>
        <rFont val="맑은 고딕"/>
        <family val="2"/>
      </rPr>
      <t>반영합니다</t>
    </r>
    <r>
      <rPr>
        <sz val="9"/>
        <color theme="1"/>
        <rFont val="Calibri"/>
        <family val="2"/>
      </rPr>
      <t xml:space="preserve">. </t>
    </r>
    <r>
      <rPr>
        <sz val="9"/>
        <color theme="1"/>
        <rFont val="맑은 고딕"/>
        <family val="2"/>
      </rPr>
      <t>입력한</t>
    </r>
    <r>
      <rPr>
        <sz val="9"/>
        <color theme="1"/>
        <rFont val="Calibri"/>
        <family val="2"/>
      </rPr>
      <t xml:space="preserve"> </t>
    </r>
    <r>
      <rPr>
        <sz val="9"/>
        <color theme="1"/>
        <rFont val="맑은 고딕"/>
        <family val="2"/>
      </rPr>
      <t>일자만큼</t>
    </r>
    <r>
      <rPr>
        <sz val="9"/>
        <color theme="1"/>
        <rFont val="Calibri"/>
        <family val="2"/>
      </rPr>
      <t xml:space="preserve"> </t>
    </r>
    <r>
      <rPr>
        <sz val="9"/>
        <color theme="1"/>
        <rFont val="맑은 고딕"/>
        <family val="2"/>
      </rPr>
      <t>작업기간에서</t>
    </r>
    <r>
      <rPr>
        <sz val="9"/>
        <color theme="1"/>
        <rFont val="Calibri"/>
        <family val="2"/>
      </rPr>
      <t xml:space="preserve"> </t>
    </r>
    <r>
      <rPr>
        <sz val="9"/>
        <color theme="1"/>
        <rFont val="맑은 고딕"/>
        <family val="2"/>
      </rPr>
      <t>제외합니다</t>
    </r>
    <r>
      <rPr>
        <sz val="9"/>
        <color theme="1"/>
        <rFont val="Calibri"/>
        <family val="2"/>
      </rPr>
      <t>.\n(</t>
    </r>
    <r>
      <rPr>
        <sz val="9"/>
        <color theme="1"/>
        <rFont val="맑은 고딕"/>
        <family val="2"/>
      </rPr>
      <t>단</t>
    </r>
    <r>
      <rPr>
        <sz val="9"/>
        <color theme="1"/>
        <rFont val="Calibri"/>
        <family val="2"/>
      </rPr>
      <t xml:space="preserve">, </t>
    </r>
    <r>
      <rPr>
        <sz val="9"/>
        <color theme="1"/>
        <rFont val="맑은 고딕"/>
        <family val="2"/>
      </rPr>
      <t>옵션창의</t>
    </r>
    <r>
      <rPr>
        <sz val="9"/>
        <color theme="1"/>
        <rFont val="Calibri"/>
        <family val="2"/>
      </rPr>
      <t xml:space="preserve"> </t>
    </r>
    <r>
      <rPr>
        <sz val="9"/>
        <color theme="1"/>
        <rFont val="맑은 고딕"/>
        <family val="2"/>
      </rPr>
      <t>캘린더</t>
    </r>
    <r>
      <rPr>
        <sz val="9"/>
        <color theme="1"/>
        <rFont val="Calibri"/>
        <family val="2"/>
      </rPr>
      <t xml:space="preserve"> </t>
    </r>
    <r>
      <rPr>
        <sz val="9"/>
        <color theme="1"/>
        <rFont val="맑은 고딕"/>
        <family val="2"/>
      </rPr>
      <t>설정에</t>
    </r>
    <r>
      <rPr>
        <sz val="9"/>
        <color theme="1"/>
        <rFont val="Calibri"/>
        <family val="2"/>
      </rPr>
      <t xml:space="preserve"> </t>
    </r>
    <r>
      <rPr>
        <sz val="9"/>
        <color theme="1"/>
        <rFont val="맑은 고딕"/>
        <family val="2"/>
      </rPr>
      <t>따라</t>
    </r>
    <r>
      <rPr>
        <sz val="9"/>
        <color theme="1"/>
        <rFont val="Calibri"/>
        <family val="2"/>
      </rPr>
      <t xml:space="preserve"> </t>
    </r>
    <r>
      <rPr>
        <sz val="9"/>
        <color theme="1"/>
        <rFont val="맑은 고딕"/>
        <family val="2"/>
      </rPr>
      <t>휴무일계산방법은</t>
    </r>
    <r>
      <rPr>
        <sz val="9"/>
        <color theme="1"/>
        <rFont val="Calibri"/>
        <family val="2"/>
      </rPr>
      <t xml:space="preserve"> </t>
    </r>
    <r>
      <rPr>
        <sz val="9"/>
        <color theme="1"/>
        <rFont val="맑은 고딕"/>
        <family val="2"/>
      </rPr>
      <t>달라질</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.)\n</t>
    </r>
    <r>
      <rPr>
        <sz val="9"/>
        <color theme="1"/>
        <rFont val="맑은 고딕"/>
        <family val="2"/>
      </rPr>
      <t>표준캘린더는</t>
    </r>
    <r>
      <rPr>
        <sz val="9"/>
        <color theme="1"/>
        <rFont val="Calibri"/>
        <family val="2"/>
      </rPr>
      <t xml:space="preserve"> </t>
    </r>
    <r>
      <rPr>
        <sz val="9"/>
        <color theme="1"/>
        <rFont val="맑은 고딕"/>
        <family val="2"/>
      </rPr>
      <t>기본으로</t>
    </r>
    <r>
      <rPr>
        <sz val="9"/>
        <color theme="1"/>
        <rFont val="Calibri"/>
        <family val="2"/>
      </rPr>
      <t xml:space="preserve"> </t>
    </r>
    <r>
      <rPr>
        <sz val="9"/>
        <color theme="1"/>
        <rFont val="맑은 고딕"/>
        <family val="2"/>
      </rPr>
      <t>적용되는</t>
    </r>
    <r>
      <rPr>
        <sz val="9"/>
        <color theme="1"/>
        <rFont val="Calibri"/>
        <family val="2"/>
      </rPr>
      <t xml:space="preserve"> </t>
    </r>
    <r>
      <rPr>
        <sz val="9"/>
        <color theme="1"/>
        <rFont val="맑은 고딕"/>
        <family val="2"/>
      </rPr>
      <t>캘린더이며</t>
    </r>
    <r>
      <rPr>
        <sz val="9"/>
        <color theme="1"/>
        <rFont val="Calibri"/>
        <family val="2"/>
      </rPr>
      <t xml:space="preserve"> </t>
    </r>
    <r>
      <rPr>
        <sz val="9"/>
        <color theme="1"/>
        <rFont val="맑은 고딕"/>
        <family val="2"/>
      </rPr>
      <t>특정</t>
    </r>
    <r>
      <rPr>
        <sz val="9"/>
        <color theme="1"/>
        <rFont val="Calibri"/>
        <family val="2"/>
      </rPr>
      <t xml:space="preserve"> </t>
    </r>
    <r>
      <rPr>
        <sz val="9"/>
        <color theme="1"/>
        <rFont val="맑은 고딕"/>
        <family val="2"/>
      </rPr>
      <t>작업에</t>
    </r>
    <r>
      <rPr>
        <sz val="9"/>
        <color theme="1"/>
        <rFont val="Calibri"/>
        <family val="2"/>
      </rPr>
      <t xml:space="preserve"> </t>
    </r>
    <r>
      <rPr>
        <sz val="9"/>
        <color theme="1"/>
        <rFont val="맑은 고딕"/>
        <family val="2"/>
      </rPr>
      <t>다른</t>
    </r>
    <r>
      <rPr>
        <sz val="9"/>
        <color theme="1"/>
        <rFont val="Calibri"/>
        <family val="2"/>
      </rPr>
      <t xml:space="preserve"> </t>
    </r>
    <r>
      <rPr>
        <sz val="9"/>
        <color theme="1"/>
        <rFont val="맑은 고딕"/>
        <family val="2"/>
      </rPr>
      <t>캘린더를</t>
    </r>
    <r>
      <rPr>
        <sz val="9"/>
        <color theme="1"/>
        <rFont val="Calibri"/>
        <family val="2"/>
      </rPr>
      <t xml:space="preserve"> </t>
    </r>
    <r>
      <rPr>
        <sz val="9"/>
        <color theme="1"/>
        <rFont val="맑은 고딕"/>
        <family val="2"/>
      </rPr>
      <t>지정하고</t>
    </r>
    <r>
      <rPr>
        <sz val="9"/>
        <color theme="1"/>
        <rFont val="Calibri"/>
        <family val="2"/>
      </rPr>
      <t xml:space="preserve"> </t>
    </r>
    <r>
      <rPr>
        <sz val="9"/>
        <color theme="1"/>
        <rFont val="맑은 고딕"/>
        <family val="2"/>
      </rPr>
      <t>싶으면</t>
    </r>
    <r>
      <rPr>
        <sz val="9"/>
        <color theme="1"/>
        <rFont val="Calibri"/>
        <family val="2"/>
      </rPr>
      <t xml:space="preserve"> "</t>
    </r>
    <r>
      <rPr>
        <sz val="9"/>
        <color theme="1"/>
        <rFont val="맑은 고딕"/>
        <family val="2"/>
      </rPr>
      <t>사용자정의</t>
    </r>
    <r>
      <rPr>
        <sz val="9"/>
        <color theme="1"/>
        <rFont val="Calibri"/>
        <family val="2"/>
      </rPr>
      <t xml:space="preserve"> </t>
    </r>
    <r>
      <rPr>
        <sz val="9"/>
        <color theme="1"/>
        <rFont val="맑은 고딕"/>
        <family val="2"/>
      </rPr>
      <t>캘린더</t>
    </r>
    <r>
      <rPr>
        <sz val="9"/>
        <color theme="1"/>
        <rFont val="Calibri"/>
        <family val="2"/>
      </rPr>
      <t>1", "</t>
    </r>
    <r>
      <rPr>
        <sz val="9"/>
        <color theme="1"/>
        <rFont val="맑은 고딕"/>
        <family val="2"/>
      </rPr>
      <t>사용자정의</t>
    </r>
    <r>
      <rPr>
        <sz val="9"/>
        <color theme="1"/>
        <rFont val="Calibri"/>
        <family val="2"/>
      </rPr>
      <t xml:space="preserve"> </t>
    </r>
    <r>
      <rPr>
        <sz val="9"/>
        <color theme="1"/>
        <rFont val="맑은 고딕"/>
        <family val="2"/>
      </rPr>
      <t>캘린더</t>
    </r>
    <r>
      <rPr>
        <sz val="9"/>
        <color theme="1"/>
        <rFont val="Calibri"/>
        <family val="2"/>
      </rPr>
      <t>2"</t>
    </r>
    <r>
      <rPr>
        <sz val="9"/>
        <color theme="1"/>
        <rFont val="맑은 고딕"/>
        <family val="2"/>
      </rPr>
      <t>에</t>
    </r>
    <r>
      <rPr>
        <sz val="9"/>
        <color theme="1"/>
        <rFont val="Calibri"/>
        <family val="2"/>
      </rPr>
      <t xml:space="preserve"> </t>
    </r>
    <r>
      <rPr>
        <sz val="9"/>
        <color theme="1"/>
        <rFont val="맑은 고딕"/>
        <family val="2"/>
      </rPr>
      <t>휴무일을</t>
    </r>
    <r>
      <rPr>
        <sz val="9"/>
        <color theme="1"/>
        <rFont val="Calibri"/>
        <family val="2"/>
      </rPr>
      <t xml:space="preserve"> </t>
    </r>
    <r>
      <rPr>
        <sz val="9"/>
        <color theme="1"/>
        <rFont val="맑은 고딕"/>
        <family val="2"/>
      </rPr>
      <t>지정하여</t>
    </r>
    <r>
      <rPr>
        <sz val="9"/>
        <color theme="1"/>
        <rFont val="Calibri"/>
        <family val="2"/>
      </rPr>
      <t xml:space="preserve"> </t>
    </r>
    <r>
      <rPr>
        <sz val="9"/>
        <color theme="1"/>
        <rFont val="맑은 고딕"/>
        <family val="2"/>
      </rPr>
      <t>사용합니다</t>
    </r>
    <r>
      <rPr>
        <sz val="9"/>
        <color theme="1"/>
        <rFont val="Calibri"/>
        <family val="2"/>
      </rPr>
      <t>.</t>
    </r>
    <phoneticPr fontId="2" type="noConversion"/>
  </si>
  <si>
    <t>The earliest start date({1}) of the tasks is earlier than the start date({2}) of the project.\n\nThe latest finish date({3}) of the tasks is later than the finish date({4}) of the project.\n\nIn this case, there may be problems with resource calculations. Please change the start date and finish date to valid date.</t>
    <phoneticPr fontId="2" type="noConversion"/>
  </si>
  <si>
    <t>Error! Cause may be one of the following.\n * File is invalid(e.g. the Excel file corrupted)\n * Data format is invalid(First row:title, from second row:contents or XLGantt file is valid)\n * If you cancel to open the file that is already opened\n\n Please check the messages below for details.</t>
    <phoneticPr fontId="2" type="noConversion"/>
  </si>
  <si>
    <t>* You can import  files created in XLGantt._x000D_
* You can import files if the version is 0.9.7 or higher than 0.9.7_x000D_
* You can import up to 10,000 records._x000D_
* You can import multiple files simultaneously.</t>
    <phoneticPr fontId="2" type="noConversion"/>
  </si>
  <si>
    <t>Project duration is too long. The earliest start date is {1} and the latest finish date is {2}, so the project duration is {3} days. The maximum number of days allowed in XLGantt is {4} days. Reduce the project duration to within the limits allowed by XLGantt.</t>
    <phoneticPr fontId="2" type="noConversion"/>
  </si>
  <si>
    <r>
      <rPr>
        <sz val="9"/>
        <color theme="1"/>
        <rFont val="맑은 고딕"/>
        <family val="2"/>
      </rPr>
      <t>토요일</t>
    </r>
    <r>
      <rPr>
        <sz val="9"/>
        <color theme="1"/>
        <rFont val="Calibri"/>
        <family val="2"/>
      </rPr>
      <t>,</t>
    </r>
    <r>
      <rPr>
        <sz val="9"/>
        <color theme="1"/>
        <rFont val="맑은 고딕"/>
        <family val="2"/>
      </rPr>
      <t>일요일</t>
    </r>
    <r>
      <rPr>
        <sz val="9"/>
        <color theme="1"/>
        <rFont val="Calibri"/>
        <family val="2"/>
      </rPr>
      <t xml:space="preserve"> </t>
    </r>
    <r>
      <rPr>
        <sz val="9"/>
        <color theme="1"/>
        <rFont val="맑은 고딕"/>
        <family val="2"/>
      </rPr>
      <t>및</t>
    </r>
    <r>
      <rPr>
        <sz val="9"/>
        <color theme="1"/>
        <rFont val="Calibri"/>
        <family val="2"/>
      </rPr>
      <t xml:space="preserve"> Calendar sheet</t>
    </r>
    <r>
      <rPr>
        <sz val="9"/>
        <color theme="1"/>
        <rFont val="맑은 고딕"/>
        <family val="2"/>
      </rPr>
      <t>에</t>
    </r>
    <r>
      <rPr>
        <sz val="9"/>
        <color theme="1"/>
        <rFont val="Calibri"/>
        <family val="2"/>
      </rPr>
      <t xml:space="preserve"> </t>
    </r>
    <r>
      <rPr>
        <sz val="9"/>
        <color theme="1"/>
        <rFont val="맑은 고딕"/>
        <family val="2"/>
      </rPr>
      <t>입력된</t>
    </r>
    <r>
      <rPr>
        <sz val="9"/>
        <color theme="1"/>
        <rFont val="Calibri"/>
        <family val="2"/>
      </rPr>
      <t xml:space="preserve"> </t>
    </r>
    <r>
      <rPr>
        <sz val="9"/>
        <color theme="1"/>
        <rFont val="맑은 고딕"/>
        <family val="2"/>
      </rPr>
      <t>날짜_x000D_</t>
    </r>
    <phoneticPr fontId="2" type="noConversion"/>
  </si>
  <si>
    <t>for import columun</t>
    <phoneticPr fontId="8" type="noConversion"/>
  </si>
  <si>
    <t>%Work__Complete</t>
    <phoneticPr fontId="8" type="noConversion"/>
  </si>
  <si>
    <t>manual input</t>
    <phoneticPr fontId="2" type="noConversion"/>
  </si>
  <si>
    <t>Actual</t>
    <phoneticPr fontId="2" type="noConversion"/>
  </si>
  <si>
    <t>실적</t>
    <phoneticPr fontId="2" type="noConversion"/>
  </si>
  <si>
    <t>Actual Total__Duration</t>
    <phoneticPr fontId="8" type="noConversion"/>
  </si>
  <si>
    <r>
      <rPr>
        <sz val="9"/>
        <color theme="1"/>
        <rFont val="돋움"/>
        <family val="3"/>
        <charset val="129"/>
      </rPr>
      <t>실제</t>
    </r>
    <r>
      <rPr>
        <sz val="9"/>
        <color theme="1"/>
        <rFont val="Calibri"/>
        <family val="2"/>
      </rPr>
      <t xml:space="preserve"> </t>
    </r>
    <r>
      <rPr>
        <sz val="9"/>
        <color theme="1"/>
        <rFont val="돋움"/>
        <family val="3"/>
        <charset val="129"/>
      </rPr>
      <t>총기간</t>
    </r>
    <r>
      <rPr>
        <sz val="9"/>
        <color theme="1"/>
        <rFont val="Calibri"/>
        <family val="2"/>
      </rPr>
      <t>__(</t>
    </r>
    <r>
      <rPr>
        <sz val="9"/>
        <color theme="1"/>
        <rFont val="돋움"/>
        <family val="3"/>
        <charset val="129"/>
      </rPr>
      <t>전체</t>
    </r>
    <r>
      <rPr>
        <sz val="9"/>
        <color theme="1"/>
        <rFont val="Calibri"/>
        <family val="2"/>
      </rPr>
      <t xml:space="preserve"> </t>
    </r>
    <r>
      <rPr>
        <sz val="9"/>
        <color theme="1"/>
        <rFont val="돋움"/>
        <family val="3"/>
        <charset val="129"/>
      </rPr>
      <t>기간</t>
    </r>
    <r>
      <rPr>
        <sz val="9"/>
        <color theme="1"/>
        <rFont val="Calibri"/>
        <family val="2"/>
      </rPr>
      <t>)</t>
    </r>
    <phoneticPr fontId="8" type="noConversion"/>
  </si>
  <si>
    <r>
      <t>실제</t>
    </r>
    <r>
      <rPr>
        <sz val="10"/>
        <color theme="1"/>
        <rFont val="Calibri"/>
        <family val="2"/>
      </rPr>
      <t xml:space="preserve"> </t>
    </r>
    <r>
      <rPr>
        <sz val="10"/>
        <color theme="1"/>
        <rFont val="돋움"/>
        <family val="3"/>
        <charset val="129"/>
      </rPr>
      <t>총작업량</t>
    </r>
    <r>
      <rPr>
        <sz val="10"/>
        <color theme="1"/>
        <rFont val="Calibri"/>
        <family val="2"/>
      </rPr>
      <t>\n</t>
    </r>
    <r>
      <rPr>
        <sz val="10"/>
        <color theme="1"/>
        <rFont val="Calibri"/>
        <family val="2"/>
      </rPr>
      <t>(</t>
    </r>
    <r>
      <rPr>
        <sz val="10"/>
        <color theme="1"/>
        <rFont val="돋움"/>
        <family val="3"/>
        <charset val="129"/>
      </rPr>
      <t>총</t>
    </r>
    <r>
      <rPr>
        <sz val="10"/>
        <color theme="1"/>
        <rFont val="Calibri"/>
        <family val="2"/>
      </rPr>
      <t>ManDay,_x000D_</t>
    </r>
    <r>
      <rPr>
        <sz val="10"/>
        <color theme="1"/>
        <rFont val="돋움"/>
        <family val="3"/>
        <charset val="129"/>
      </rPr>
      <t>가중치</t>
    </r>
    <r>
      <rPr>
        <sz val="10"/>
        <color theme="1"/>
        <rFont val="Calibri"/>
        <family val="2"/>
      </rPr>
      <t xml:space="preserve"> </t>
    </r>
    <r>
      <rPr>
        <sz val="10"/>
        <color theme="1"/>
        <rFont val="돋움"/>
        <family val="3"/>
        <charset val="129"/>
      </rPr>
      <t>감안</t>
    </r>
    <r>
      <rPr>
        <sz val="10"/>
        <color theme="1"/>
        <rFont val="Calibri"/>
        <family val="2"/>
      </rPr>
      <t>)</t>
    </r>
    <phoneticPr fontId="8" type="noConversion"/>
  </si>
  <si>
    <t>for import columun</t>
    <phoneticPr fontId="8" type="noConversion"/>
  </si>
  <si>
    <t>Actual__Finish</t>
    <phoneticPr fontId="8" type="noConversion"/>
  </si>
  <si>
    <r>
      <rPr>
        <sz val="9"/>
        <color theme="1"/>
        <rFont val="돋움"/>
        <family val="3"/>
        <charset val="129"/>
      </rPr>
      <t>실제</t>
    </r>
    <r>
      <rPr>
        <sz val="9"/>
        <color theme="1"/>
        <rFont val="Calibri"/>
        <family val="2"/>
      </rPr>
      <t>__</t>
    </r>
    <r>
      <rPr>
        <sz val="9"/>
        <color theme="1"/>
        <rFont val="돋움"/>
        <family val="3"/>
        <charset val="129"/>
      </rPr>
      <t>완료일</t>
    </r>
    <phoneticPr fontId="8" type="noConversion"/>
  </si>
  <si>
    <t>Actual__Start</t>
    <phoneticPr fontId="8" type="noConversion"/>
  </si>
  <si>
    <r>
      <rPr>
        <sz val="9"/>
        <color theme="1"/>
        <rFont val="돋움"/>
        <family val="3"/>
        <charset val="129"/>
      </rPr>
      <t>실제</t>
    </r>
    <r>
      <rPr>
        <sz val="9"/>
        <color theme="1"/>
        <rFont val="Calibri"/>
        <family val="2"/>
      </rPr>
      <t>__</t>
    </r>
    <r>
      <rPr>
        <sz val="9"/>
        <color theme="1"/>
        <rFont val="돋움"/>
        <family val="3"/>
        <charset val="129"/>
      </rPr>
      <t>시작일</t>
    </r>
    <phoneticPr fontId="8" type="noConversion"/>
  </si>
  <si>
    <t>Actual__Total Duration</t>
    <phoneticPr fontId="8" type="noConversion"/>
  </si>
  <si>
    <r>
      <rPr>
        <sz val="9"/>
        <color theme="1"/>
        <rFont val="돋움"/>
        <family val="3"/>
        <charset val="129"/>
      </rPr>
      <t>실제</t>
    </r>
    <r>
      <rPr>
        <sz val="9"/>
        <color theme="1"/>
        <rFont val="Calibri"/>
        <family val="2"/>
      </rPr>
      <t>__</t>
    </r>
    <r>
      <rPr>
        <sz val="9"/>
        <color theme="1"/>
        <rFont val="돋움"/>
        <family val="3"/>
        <charset val="129"/>
      </rPr>
      <t>총기간</t>
    </r>
    <phoneticPr fontId="8" type="noConversion"/>
  </si>
  <si>
    <r>
      <rPr>
        <sz val="9"/>
        <color theme="1"/>
        <rFont val="돋움"/>
        <family val="3"/>
        <charset val="129"/>
      </rPr>
      <t>실제</t>
    </r>
    <r>
      <rPr>
        <sz val="9"/>
        <color theme="1"/>
        <rFont val="Calibri"/>
        <family val="2"/>
      </rPr>
      <t>__</t>
    </r>
    <r>
      <rPr>
        <sz val="9"/>
        <color theme="1"/>
        <rFont val="돋움"/>
        <family val="3"/>
        <charset val="129"/>
      </rPr>
      <t>총작업량</t>
    </r>
    <phoneticPr fontId="8" type="noConversion"/>
  </si>
  <si>
    <r>
      <rPr>
        <sz val="9"/>
        <color theme="1"/>
        <rFont val="맑은 고딕"/>
        <family val="2"/>
      </rPr>
      <t>실제</t>
    </r>
    <r>
      <rPr>
        <sz val="9"/>
        <color theme="1"/>
        <rFont val="Calibri"/>
        <family val="2"/>
      </rPr>
      <t>\n</t>
    </r>
    <r>
      <rPr>
        <sz val="9"/>
        <color theme="1"/>
        <rFont val="맑은 고딕"/>
        <family val="2"/>
      </rPr>
      <t>완료일</t>
    </r>
    <phoneticPr fontId="2" type="noConversion"/>
  </si>
  <si>
    <r>
      <rPr>
        <sz val="9"/>
        <color theme="1"/>
        <rFont val="맑은 고딕"/>
        <family val="2"/>
      </rPr>
      <t>실제</t>
    </r>
    <r>
      <rPr>
        <sz val="9"/>
        <color theme="1"/>
        <rFont val="Calibri"/>
        <family val="2"/>
      </rPr>
      <t>\n</t>
    </r>
    <r>
      <rPr>
        <sz val="9"/>
        <color theme="1"/>
        <rFont val="맑은 고딕"/>
        <family val="2"/>
      </rPr>
      <t>시작일</t>
    </r>
    <phoneticPr fontId="2" type="noConversion"/>
  </si>
  <si>
    <t>Actual\nStart-Finish</t>
    <phoneticPr fontId="2" type="noConversion"/>
  </si>
  <si>
    <r>
      <rPr>
        <sz val="9"/>
        <color theme="1"/>
        <rFont val="맑은 고딕"/>
        <family val="2"/>
      </rPr>
      <t>실제</t>
    </r>
    <r>
      <rPr>
        <sz val="9"/>
        <color theme="1"/>
        <rFont val="Calibri"/>
        <family val="2"/>
      </rPr>
      <t>\n</t>
    </r>
    <r>
      <rPr>
        <sz val="9"/>
        <color theme="1"/>
        <rFont val="맑은 고딕"/>
        <family val="2"/>
      </rPr>
      <t>총기간</t>
    </r>
    <phoneticPr fontId="2" type="noConversion"/>
  </si>
  <si>
    <r>
      <rPr>
        <sz val="9"/>
        <color theme="1"/>
        <rFont val="맑은 고딕"/>
        <family val="2"/>
      </rPr>
      <t>담당</t>
    </r>
    <phoneticPr fontId="2" type="noConversion"/>
  </si>
  <si>
    <r>
      <rPr>
        <sz val="9"/>
        <color theme="1"/>
        <rFont val="맑은 고딕"/>
        <family val="2"/>
      </rPr>
      <t>기타</t>
    </r>
    <phoneticPr fontId="2" type="noConversion"/>
  </si>
  <si>
    <r>
      <rPr>
        <sz val="9"/>
        <color theme="1"/>
        <rFont val="맑은 고딕"/>
        <family val="2"/>
      </rPr>
      <t>일반</t>
    </r>
    <phoneticPr fontId="2" type="noConversion"/>
  </si>
  <si>
    <r>
      <rPr>
        <sz val="9"/>
        <color theme="1"/>
        <rFont val="맑은 고딕"/>
        <family val="2"/>
      </rPr>
      <t>언어</t>
    </r>
    <phoneticPr fontId="2" type="noConversion"/>
  </si>
  <si>
    <t>yyyy/mm/dd</t>
    <phoneticPr fontId="2" type="noConversion"/>
  </si>
  <si>
    <r>
      <rPr>
        <sz val="9"/>
        <color theme="1"/>
        <rFont val="맑은 고딕"/>
        <family val="2"/>
      </rPr>
      <t>토요일</t>
    </r>
    <r>
      <rPr>
        <sz val="9"/>
        <color theme="1"/>
        <rFont val="Calibri"/>
        <family val="2"/>
      </rPr>
      <t>,</t>
    </r>
    <r>
      <rPr>
        <sz val="9"/>
        <color theme="1"/>
        <rFont val="맑은 고딕"/>
        <family val="2"/>
      </rPr>
      <t>일요일은</t>
    </r>
    <r>
      <rPr>
        <sz val="9"/>
        <color theme="1"/>
        <rFont val="Calibri"/>
        <family val="2"/>
      </rPr>
      <t xml:space="preserve"> Calendar sheet</t>
    </r>
    <r>
      <rPr>
        <sz val="9"/>
        <color theme="1"/>
        <rFont val="맑은 고딕"/>
        <family val="2"/>
      </rPr>
      <t>에</t>
    </r>
    <r>
      <rPr>
        <sz val="9"/>
        <color theme="1"/>
        <rFont val="Calibri"/>
        <family val="2"/>
      </rPr>
      <t xml:space="preserve"> </t>
    </r>
    <r>
      <rPr>
        <sz val="9"/>
        <color theme="1"/>
        <rFont val="맑은 고딕"/>
        <family val="2"/>
      </rPr>
      <t>입력할</t>
    </r>
    <r>
      <rPr>
        <sz val="9"/>
        <color theme="1"/>
        <rFont val="Calibri"/>
        <family val="2"/>
      </rPr>
      <t xml:space="preserve"> </t>
    </r>
    <r>
      <rPr>
        <sz val="9"/>
        <color theme="1"/>
        <rFont val="맑은 고딕"/>
        <family val="2"/>
      </rPr>
      <t>필요</t>
    </r>
    <r>
      <rPr>
        <sz val="9"/>
        <color theme="1"/>
        <rFont val="Calibri"/>
        <family val="2"/>
      </rPr>
      <t xml:space="preserve"> </t>
    </r>
    <r>
      <rPr>
        <sz val="9"/>
        <color theme="1"/>
        <rFont val="맑은 고딕"/>
        <family val="2"/>
      </rPr>
      <t>없음</t>
    </r>
    <phoneticPr fontId="2" type="noConversion"/>
  </si>
  <si>
    <r>
      <rPr>
        <sz val="9"/>
        <color theme="1"/>
        <rFont val="맑은 고딕"/>
        <family val="2"/>
      </rPr>
      <t>토요일</t>
    </r>
    <r>
      <rPr>
        <sz val="9"/>
        <color theme="1"/>
        <rFont val="Calibri"/>
        <family val="2"/>
      </rPr>
      <t>,</t>
    </r>
    <r>
      <rPr>
        <sz val="9"/>
        <color theme="1"/>
        <rFont val="맑은 고딕"/>
        <family val="2"/>
      </rPr>
      <t>일요일만</t>
    </r>
    <phoneticPr fontId="2" type="noConversion"/>
  </si>
  <si>
    <r>
      <t>Calendar sheet</t>
    </r>
    <r>
      <rPr>
        <sz val="9"/>
        <color theme="1"/>
        <rFont val="맑은 고딕"/>
        <family val="2"/>
      </rPr>
      <t>에</t>
    </r>
    <r>
      <rPr>
        <sz val="9"/>
        <color theme="1"/>
        <rFont val="Calibri"/>
        <family val="2"/>
      </rPr>
      <t xml:space="preserve"> </t>
    </r>
    <r>
      <rPr>
        <sz val="9"/>
        <color theme="1"/>
        <rFont val="맑은 고딕"/>
        <family val="2"/>
      </rPr>
      <t>입력된</t>
    </r>
    <r>
      <rPr>
        <sz val="9"/>
        <color theme="1"/>
        <rFont val="Calibri"/>
        <family val="2"/>
      </rPr>
      <t xml:space="preserve"> </t>
    </r>
    <r>
      <rPr>
        <sz val="9"/>
        <color theme="1"/>
        <rFont val="맑은 고딕"/>
        <family val="2"/>
      </rPr>
      <t>날짜만</t>
    </r>
    <phoneticPr fontId="2" type="noConversion"/>
  </si>
  <si>
    <t>Plan</t>
    <phoneticPr fontId="2" type="noConversion"/>
  </si>
  <si>
    <t>계획</t>
    <phoneticPr fontId="2" type="noConversion"/>
  </si>
  <si>
    <r>
      <rPr>
        <sz val="9"/>
        <color theme="1"/>
        <rFont val="맑은 고딕"/>
        <family val="2"/>
      </rPr>
      <t>계획진척율</t>
    </r>
    <r>
      <rPr>
        <sz val="9"/>
        <color theme="1"/>
        <rFont val="Calibri"/>
        <family val="2"/>
      </rPr>
      <t xml:space="preserve"> </t>
    </r>
    <r>
      <rPr>
        <sz val="9"/>
        <color theme="1"/>
        <rFont val="맑은 고딕"/>
        <family val="2"/>
      </rPr>
      <t>계산</t>
    </r>
    <r>
      <rPr>
        <sz val="9"/>
        <color theme="1"/>
        <rFont val="Calibri"/>
        <family val="2"/>
      </rPr>
      <t xml:space="preserve"> </t>
    </r>
    <r>
      <rPr>
        <sz val="9"/>
        <color theme="1"/>
        <rFont val="맑은 고딕"/>
        <family val="2"/>
      </rPr>
      <t>기준일자</t>
    </r>
    <phoneticPr fontId="2" type="noConversion"/>
  </si>
  <si>
    <t>Planned__%Work Complete</t>
    <phoneticPr fontId="8" type="noConversion"/>
  </si>
  <si>
    <t>Planned__Duration</t>
    <phoneticPr fontId="8" type="noConversion"/>
  </si>
  <si>
    <t>Planned__Work</t>
    <phoneticPr fontId="8" type="noConversion"/>
  </si>
  <si>
    <r>
      <rPr>
        <sz val="9"/>
        <color theme="1"/>
        <rFont val="돋움"/>
        <family val="3"/>
        <charset val="129"/>
      </rPr>
      <t>계획</t>
    </r>
    <r>
      <rPr>
        <sz val="9"/>
        <color theme="1"/>
        <rFont val="Calibri"/>
        <family val="2"/>
      </rPr>
      <t>__</t>
    </r>
    <r>
      <rPr>
        <sz val="9"/>
        <color theme="1"/>
        <rFont val="돋움"/>
        <family val="3"/>
        <charset val="129"/>
      </rPr>
      <t>작업량</t>
    </r>
    <phoneticPr fontId="8" type="noConversion"/>
  </si>
  <si>
    <t>Resources</t>
    <phoneticPr fontId="2" type="noConversion"/>
  </si>
  <si>
    <t>담당</t>
    <phoneticPr fontId="2" type="noConversion"/>
  </si>
  <si>
    <r>
      <rPr>
        <sz val="9"/>
        <color theme="1"/>
        <rFont val="맑은 고딕"/>
        <family val="2"/>
      </rPr>
      <t>작업</t>
    </r>
    <phoneticPr fontId="2" type="noConversion"/>
  </si>
  <si>
    <t>The language setting has been changed.\nPress the OK button to start translation. \nIt may take a long time to translate.\nHowever, translation of Ribbon menu and Popup menu takes effect after reopening this XLGantt file.</t>
    <phoneticPr fontId="8" type="noConversion"/>
  </si>
  <si>
    <r>
      <rPr>
        <sz val="10"/>
        <color theme="1"/>
        <rFont val="돋움"/>
        <family val="3"/>
        <charset val="129"/>
      </rPr>
      <t>언어설정이</t>
    </r>
    <r>
      <rPr>
        <sz val="10"/>
        <color theme="1"/>
        <rFont val="Calibri"/>
        <family val="2"/>
      </rPr>
      <t xml:space="preserve"> </t>
    </r>
    <r>
      <rPr>
        <sz val="10"/>
        <color theme="1"/>
        <rFont val="돋움"/>
        <family val="3"/>
        <charset val="129"/>
      </rPr>
      <t>변경되었습니다</t>
    </r>
    <r>
      <rPr>
        <sz val="10"/>
        <color theme="1"/>
        <rFont val="Calibri"/>
        <family val="2"/>
      </rPr>
      <t>.\n</t>
    </r>
    <r>
      <rPr>
        <sz val="10"/>
        <color theme="1"/>
        <rFont val="돋움"/>
        <family val="3"/>
        <charset val="129"/>
      </rPr>
      <t>확인버튼을</t>
    </r>
    <r>
      <rPr>
        <sz val="10"/>
        <color theme="1"/>
        <rFont val="Calibri"/>
        <family val="2"/>
      </rPr>
      <t xml:space="preserve"> </t>
    </r>
    <r>
      <rPr>
        <sz val="10"/>
        <color theme="1"/>
        <rFont val="돋움"/>
        <family val="3"/>
        <charset val="129"/>
      </rPr>
      <t>누르면</t>
    </r>
    <r>
      <rPr>
        <sz val="10"/>
        <color theme="1"/>
        <rFont val="Calibri"/>
        <family val="2"/>
      </rPr>
      <t xml:space="preserve"> </t>
    </r>
    <r>
      <rPr>
        <sz val="10"/>
        <color theme="1"/>
        <rFont val="돋움"/>
        <family val="3"/>
        <charset val="129"/>
      </rPr>
      <t>번역을</t>
    </r>
    <r>
      <rPr>
        <sz val="10"/>
        <color theme="1"/>
        <rFont val="Calibri"/>
        <family val="2"/>
      </rPr>
      <t xml:space="preserve"> </t>
    </r>
    <r>
      <rPr>
        <sz val="10"/>
        <color theme="1"/>
        <rFont val="돋움"/>
        <family val="3"/>
        <charset val="129"/>
      </rPr>
      <t>시작합니다</t>
    </r>
    <r>
      <rPr>
        <sz val="10"/>
        <color theme="1"/>
        <rFont val="Calibri"/>
        <family val="2"/>
      </rPr>
      <t xml:space="preserve">. </t>
    </r>
    <r>
      <rPr>
        <sz val="10"/>
        <color theme="1"/>
        <rFont val="돋움"/>
        <family val="3"/>
        <charset val="129"/>
      </rPr>
      <t>번역은</t>
    </r>
    <r>
      <rPr>
        <sz val="10"/>
        <color theme="1"/>
        <rFont val="Calibri"/>
        <family val="2"/>
      </rPr>
      <t xml:space="preserve"> </t>
    </r>
    <r>
      <rPr>
        <sz val="10"/>
        <color theme="1"/>
        <rFont val="돋움"/>
        <family val="3"/>
        <charset val="129"/>
      </rPr>
      <t>시간이</t>
    </r>
    <r>
      <rPr>
        <sz val="10"/>
        <color theme="1"/>
        <rFont val="Calibri"/>
        <family val="2"/>
      </rPr>
      <t xml:space="preserve"> </t>
    </r>
    <r>
      <rPr>
        <sz val="10"/>
        <color theme="1"/>
        <rFont val="돋움"/>
        <family val="3"/>
        <charset val="129"/>
      </rPr>
      <t>걸릴</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있습니다</t>
    </r>
    <r>
      <rPr>
        <sz val="10"/>
        <color theme="1"/>
        <rFont val="Calibri"/>
        <family val="2"/>
      </rPr>
      <t>. \n</t>
    </r>
    <r>
      <rPr>
        <sz val="10"/>
        <color theme="1"/>
        <rFont val="돋움"/>
        <family val="3"/>
        <charset val="129"/>
      </rPr>
      <t>리본메뉴</t>
    </r>
    <r>
      <rPr>
        <sz val="10"/>
        <color theme="1"/>
        <rFont val="Calibri"/>
        <family val="2"/>
      </rPr>
      <t xml:space="preserve">, </t>
    </r>
    <r>
      <rPr>
        <sz val="10"/>
        <color theme="1"/>
        <rFont val="돋움"/>
        <family val="3"/>
        <charset val="129"/>
      </rPr>
      <t>팝업메뉴의</t>
    </r>
    <r>
      <rPr>
        <sz val="10"/>
        <color theme="1"/>
        <rFont val="Calibri"/>
        <family val="2"/>
      </rPr>
      <t xml:space="preserve"> </t>
    </r>
    <r>
      <rPr>
        <sz val="10"/>
        <color theme="1"/>
        <rFont val="돋움"/>
        <family val="3"/>
        <charset val="129"/>
      </rPr>
      <t>언어는</t>
    </r>
    <r>
      <rPr>
        <sz val="10"/>
        <color theme="1"/>
        <rFont val="Calibri"/>
        <family val="2"/>
      </rPr>
      <t xml:space="preserve"> </t>
    </r>
    <r>
      <rPr>
        <sz val="10"/>
        <color theme="1"/>
        <rFont val="돋움"/>
        <family val="3"/>
        <charset val="129"/>
      </rPr>
      <t>이</t>
    </r>
    <r>
      <rPr>
        <sz val="10"/>
        <color theme="1"/>
        <rFont val="Calibri"/>
        <family val="2"/>
      </rPr>
      <t xml:space="preserve"> XLGantt</t>
    </r>
    <r>
      <rPr>
        <sz val="10"/>
        <color theme="1"/>
        <rFont val="돋움"/>
        <family val="3"/>
        <charset val="129"/>
      </rPr>
      <t>파일을</t>
    </r>
    <r>
      <rPr>
        <sz val="10"/>
        <color theme="1"/>
        <rFont val="Calibri"/>
        <family val="2"/>
      </rPr>
      <t xml:space="preserve"> </t>
    </r>
    <r>
      <rPr>
        <sz val="10"/>
        <color theme="1"/>
        <rFont val="돋움"/>
        <family val="3"/>
        <charset val="129"/>
      </rPr>
      <t>닫은</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새로</t>
    </r>
    <r>
      <rPr>
        <sz val="10"/>
        <color theme="1"/>
        <rFont val="Calibri"/>
        <family val="2"/>
      </rPr>
      <t xml:space="preserve"> </t>
    </r>
    <r>
      <rPr>
        <sz val="10"/>
        <color theme="1"/>
        <rFont val="돋움"/>
        <family val="3"/>
        <charset val="129"/>
      </rPr>
      <t>열어야</t>
    </r>
    <r>
      <rPr>
        <sz val="10"/>
        <color theme="1"/>
        <rFont val="Calibri"/>
        <family val="2"/>
      </rPr>
      <t xml:space="preserve"> </t>
    </r>
    <r>
      <rPr>
        <sz val="10"/>
        <color theme="1"/>
        <rFont val="돋움"/>
        <family val="3"/>
        <charset val="129"/>
      </rPr>
      <t>번역이</t>
    </r>
    <r>
      <rPr>
        <sz val="10"/>
        <color theme="1"/>
        <rFont val="Calibri"/>
        <family val="2"/>
      </rPr>
      <t xml:space="preserve"> </t>
    </r>
    <r>
      <rPr>
        <sz val="10"/>
        <color theme="1"/>
        <rFont val="돋움"/>
        <family val="3"/>
        <charset val="129"/>
      </rPr>
      <t>적용됩니다</t>
    </r>
    <r>
      <rPr>
        <sz val="10"/>
        <color theme="1"/>
        <rFont val="Calibri"/>
        <family val="2"/>
      </rPr>
      <t>.</t>
    </r>
    <phoneticPr fontId="8" type="noConversion"/>
  </si>
  <si>
    <r>
      <rPr>
        <sz val="9"/>
        <color theme="1"/>
        <rFont val="돋움"/>
        <family val="3"/>
        <charset val="129"/>
      </rPr>
      <t>총</t>
    </r>
    <r>
      <rPr>
        <sz val="9"/>
        <color theme="1"/>
        <rFont val="Calibri"/>
        <family val="2"/>
      </rPr>
      <t>__</t>
    </r>
    <r>
      <rPr>
        <sz val="9"/>
        <color theme="1"/>
        <rFont val="돋움"/>
        <family val="3"/>
        <charset val="129"/>
      </rPr>
      <t>기간</t>
    </r>
    <phoneticPr fontId="8" type="noConversion"/>
  </si>
  <si>
    <t>Total__Work</t>
    <phoneticPr fontId="8" type="noConversion"/>
  </si>
  <si>
    <t>Would you like to update the schedule before saving?</t>
    <phoneticPr fontId="8" type="noConversion"/>
  </si>
  <si>
    <r>
      <rPr>
        <sz val="10"/>
        <color theme="1"/>
        <rFont val="돋움"/>
        <family val="3"/>
        <charset val="129"/>
      </rPr>
      <t>저장하기</t>
    </r>
    <r>
      <rPr>
        <sz val="10"/>
        <color theme="1"/>
        <rFont val="Calibri"/>
        <family val="2"/>
      </rPr>
      <t xml:space="preserve"> </t>
    </r>
    <r>
      <rPr>
        <sz val="10"/>
        <color theme="1"/>
        <rFont val="돋움"/>
        <family val="3"/>
        <charset val="129"/>
      </rPr>
      <t>전에</t>
    </r>
    <r>
      <rPr>
        <sz val="10"/>
        <color theme="1"/>
        <rFont val="Calibri"/>
        <family val="2"/>
      </rPr>
      <t xml:space="preserve"> </t>
    </r>
    <r>
      <rPr>
        <sz val="10"/>
        <color theme="1"/>
        <rFont val="돋움"/>
        <family val="3"/>
        <charset val="129"/>
      </rPr>
      <t>스케줄을</t>
    </r>
    <r>
      <rPr>
        <sz val="10"/>
        <color theme="1"/>
        <rFont val="Calibri"/>
        <family val="2"/>
      </rPr>
      <t xml:space="preserve"> </t>
    </r>
    <r>
      <rPr>
        <sz val="10"/>
        <color theme="1"/>
        <rFont val="돋움"/>
        <family val="3"/>
        <charset val="129"/>
      </rPr>
      <t>업데이트하시겠습니까</t>
    </r>
    <r>
      <rPr>
        <sz val="10"/>
        <color theme="1"/>
        <rFont val="Calibri"/>
        <family val="2"/>
      </rPr>
      <t>?\n\n[</t>
    </r>
    <r>
      <rPr>
        <sz val="10"/>
        <color theme="1"/>
        <rFont val="돋움"/>
        <family val="3"/>
        <charset val="129"/>
      </rPr>
      <t>스케줄업데이트</t>
    </r>
    <r>
      <rPr>
        <sz val="10"/>
        <color theme="1"/>
        <rFont val="Calibri"/>
        <family val="2"/>
      </rPr>
      <t>]</t>
    </r>
    <r>
      <rPr>
        <sz val="10"/>
        <color theme="1"/>
        <rFont val="돋움"/>
        <family val="3"/>
        <charset val="129"/>
      </rPr>
      <t>메뉴를</t>
    </r>
    <r>
      <rPr>
        <sz val="10"/>
        <color theme="1"/>
        <rFont val="Calibri"/>
        <family val="2"/>
      </rPr>
      <t xml:space="preserve"> </t>
    </r>
    <r>
      <rPr>
        <sz val="10"/>
        <color theme="1"/>
        <rFont val="돋움"/>
        <family val="3"/>
        <charset val="129"/>
      </rPr>
      <t>클릭할</t>
    </r>
    <r>
      <rPr>
        <sz val="10"/>
        <color theme="1"/>
        <rFont val="Calibri"/>
        <family val="2"/>
      </rPr>
      <t xml:space="preserve"> </t>
    </r>
    <r>
      <rPr>
        <sz val="10"/>
        <color theme="1"/>
        <rFont val="돋움"/>
        <family val="3"/>
        <charset val="129"/>
      </rPr>
      <t>때와</t>
    </r>
    <r>
      <rPr>
        <sz val="10"/>
        <color theme="1"/>
        <rFont val="Calibri"/>
        <family val="2"/>
      </rPr>
      <t xml:space="preserve"> </t>
    </r>
    <r>
      <rPr>
        <sz val="10"/>
        <color theme="1"/>
        <rFont val="돋움"/>
        <family val="3"/>
        <charset val="129"/>
      </rPr>
      <t>동일한</t>
    </r>
    <r>
      <rPr>
        <sz val="10"/>
        <color theme="1"/>
        <rFont val="Calibri"/>
        <family val="2"/>
      </rPr>
      <t xml:space="preserve"> </t>
    </r>
    <r>
      <rPr>
        <sz val="10"/>
        <color theme="1"/>
        <rFont val="돋움"/>
        <family val="3"/>
        <charset val="129"/>
      </rPr>
      <t>작업을</t>
    </r>
    <r>
      <rPr>
        <sz val="10"/>
        <color theme="1"/>
        <rFont val="Calibri"/>
        <family val="2"/>
      </rPr>
      <t xml:space="preserve"> </t>
    </r>
    <r>
      <rPr>
        <sz val="10"/>
        <color theme="1"/>
        <rFont val="돋움"/>
        <family val="3"/>
        <charset val="129"/>
      </rPr>
      <t>수행합니다</t>
    </r>
    <r>
      <rPr>
        <sz val="10"/>
        <color theme="1"/>
        <rFont val="Calibri"/>
        <family val="2"/>
      </rPr>
      <t>.</t>
    </r>
    <phoneticPr fontId="8" type="noConversion"/>
  </si>
  <si>
    <t>Name:groupRows</t>
  </si>
  <si>
    <t>Group rows</t>
    <phoneticPr fontId="2" type="noConversion"/>
  </si>
  <si>
    <t>1.1.1</t>
  </si>
  <si>
    <t>김길동</t>
  </si>
  <si>
    <t>2.1.0</t>
    <phoneticPr fontId="2" type="noConversion"/>
  </si>
  <si>
    <t>프로젝트 수행 및 통제</t>
  </si>
  <si>
    <t>프로젝트 종료</t>
  </si>
  <si>
    <t>홍길동</t>
  </si>
  <si>
    <t>2.1.1</t>
  </si>
  <si>
    <t>2.1.2.1</t>
  </si>
  <si>
    <t>2.1.2.2</t>
  </si>
  <si>
    <t>2.2.1</t>
  </si>
  <si>
    <t>2.2.3</t>
  </si>
  <si>
    <r>
      <rPr>
        <sz val="9"/>
        <color theme="1"/>
        <rFont val="돋움"/>
        <family val="3"/>
        <charset val="129"/>
      </rPr>
      <t>작업을</t>
    </r>
    <r>
      <rPr>
        <sz val="9"/>
        <color theme="1"/>
        <rFont val="Calibri"/>
        <family val="2"/>
      </rPr>
      <t xml:space="preserve"> </t>
    </r>
    <r>
      <rPr>
        <sz val="9"/>
        <color theme="1"/>
        <rFont val="돋움"/>
        <family val="3"/>
        <charset val="129"/>
      </rPr>
      <t>그룹으로</t>
    </r>
    <r>
      <rPr>
        <sz val="9"/>
        <color theme="1"/>
        <rFont val="Calibri"/>
        <family val="2"/>
      </rPr>
      <t xml:space="preserve"> </t>
    </r>
    <r>
      <rPr>
        <sz val="9"/>
        <color theme="1"/>
        <rFont val="돋움"/>
        <family val="3"/>
        <charset val="129"/>
      </rPr>
      <t>묶기</t>
    </r>
    <phoneticPr fontId="2" type="noConversion"/>
  </si>
  <si>
    <t>중간보고</t>
  </si>
  <si>
    <t>시스템 개발</t>
  </si>
  <si>
    <t>분석</t>
  </si>
  <si>
    <t>설계</t>
  </si>
  <si>
    <t>UI 설계</t>
  </si>
  <si>
    <t>2.2.2.1</t>
  </si>
  <si>
    <t>Architecture설계</t>
  </si>
  <si>
    <t>2.2.2.2</t>
  </si>
  <si>
    <t>데이터베이스설계</t>
  </si>
  <si>
    <t>2.2.2.3</t>
  </si>
  <si>
    <t>프로그램설계</t>
  </si>
  <si>
    <t>테스트 설계</t>
  </si>
  <si>
    <t>개발</t>
  </si>
  <si>
    <t>프로그램 개발</t>
  </si>
  <si>
    <t>2.3.1.1</t>
  </si>
  <si>
    <t>단위테스트시나리오작성</t>
  </si>
  <si>
    <t>2.3.1.2.1.1</t>
  </si>
  <si>
    <t>프로그램A</t>
  </si>
  <si>
    <t>2.3.1.2.1.2</t>
  </si>
  <si>
    <t>프로그램B</t>
  </si>
  <si>
    <t>2.3.1.2.1.3</t>
  </si>
  <si>
    <t>프로그램C</t>
  </si>
  <si>
    <t>2.3.1.2.2</t>
  </si>
  <si>
    <t>모듈B</t>
  </si>
  <si>
    <t>2.3.1.2.3</t>
  </si>
  <si>
    <t>모듈C</t>
  </si>
  <si>
    <t>2.3.1.2.4</t>
  </si>
  <si>
    <t>모듈D</t>
  </si>
  <si>
    <t>2.3.2.1</t>
  </si>
  <si>
    <t>통합테스트실시</t>
  </si>
  <si>
    <t>2.3.2.2</t>
  </si>
  <si>
    <t>시스템테스트실시</t>
  </si>
  <si>
    <t>2.4.1.1</t>
  </si>
  <si>
    <t>Release 및 Contingency plan수립</t>
  </si>
  <si>
    <t>2.4.2.1</t>
  </si>
  <si>
    <t>데이터베이스구축</t>
  </si>
  <si>
    <t>2.4.2.2</t>
  </si>
  <si>
    <t>소프트웨어설치</t>
  </si>
  <si>
    <t>2.4.2.3</t>
  </si>
  <si>
    <t>인수테스트실시</t>
  </si>
  <si>
    <t>2.4.2.4</t>
  </si>
  <si>
    <t>시스템오픈</t>
  </si>
  <si>
    <t>정길동</t>
  </si>
  <si>
    <t>유아인</t>
  </si>
  <si>
    <t>김아키</t>
  </si>
  <si>
    <t>김디비</t>
  </si>
  <si>
    <t>김프로</t>
  </si>
  <si>
    <t>이개발</t>
  </si>
  <si>
    <t>박개발</t>
  </si>
  <si>
    <t>이길동</t>
  </si>
  <si>
    <t>박길동</t>
  </si>
  <si>
    <t>최길동</t>
  </si>
  <si>
    <t>C:\Temp</t>
    <phoneticPr fontId="8" type="noConversion"/>
  </si>
  <si>
    <r>
      <t>2018</t>
    </r>
    <r>
      <rPr>
        <sz val="11"/>
        <rFont val="맑은 고딕"/>
        <family val="3"/>
        <charset val="129"/>
      </rPr>
      <t>년</t>
    </r>
    <r>
      <rPr>
        <sz val="11"/>
        <rFont val="Calibri"/>
        <family val="2"/>
      </rPr>
      <t xml:space="preserve"> </t>
    </r>
    <r>
      <rPr>
        <sz val="11"/>
        <rFont val="맑은 고딕"/>
        <family val="3"/>
        <charset val="129"/>
      </rPr>
      <t>신정</t>
    </r>
    <phoneticPr fontId="2" type="noConversion"/>
  </si>
  <si>
    <r>
      <t>2018</t>
    </r>
    <r>
      <rPr>
        <sz val="11"/>
        <rFont val="맑은 고딕"/>
        <family val="3"/>
        <charset val="129"/>
      </rPr>
      <t>년</t>
    </r>
    <r>
      <rPr>
        <sz val="11"/>
        <rFont val="Calibri"/>
        <family val="2"/>
      </rPr>
      <t xml:space="preserve"> </t>
    </r>
    <r>
      <rPr>
        <sz val="11"/>
        <rFont val="맑은 고딕"/>
        <family val="3"/>
        <charset val="129"/>
      </rPr>
      <t>설연휴</t>
    </r>
    <phoneticPr fontId="2" type="noConversion"/>
  </si>
  <si>
    <r>
      <t>2018</t>
    </r>
    <r>
      <rPr>
        <sz val="11"/>
        <rFont val="맑은 고딕"/>
        <family val="3"/>
        <charset val="129"/>
      </rPr>
      <t>년</t>
    </r>
    <r>
      <rPr>
        <sz val="11"/>
        <rFont val="Calibri"/>
        <family val="2"/>
      </rPr>
      <t xml:space="preserve"> </t>
    </r>
    <r>
      <rPr>
        <sz val="11"/>
        <rFont val="맑은 고딕"/>
        <family val="3"/>
        <charset val="129"/>
      </rPr>
      <t>설날</t>
    </r>
    <phoneticPr fontId="2" type="noConversion"/>
  </si>
  <si>
    <r>
      <t>2018</t>
    </r>
    <r>
      <rPr>
        <sz val="11"/>
        <rFont val="맑은 고딕"/>
        <family val="3"/>
        <charset val="129"/>
      </rPr>
      <t>년</t>
    </r>
    <r>
      <rPr>
        <sz val="11"/>
        <rFont val="Calibri"/>
        <family val="2"/>
      </rPr>
      <t xml:space="preserve"> </t>
    </r>
    <r>
      <rPr>
        <sz val="11"/>
        <rFont val="맑은 고딕"/>
        <family val="3"/>
        <charset val="129"/>
      </rPr>
      <t>삼일절</t>
    </r>
    <phoneticPr fontId="2" type="noConversion"/>
  </si>
  <si>
    <r>
      <t>2019</t>
    </r>
    <r>
      <rPr>
        <sz val="11"/>
        <rFont val="맑은 고딕"/>
        <family val="3"/>
        <charset val="129"/>
      </rPr>
      <t>년</t>
    </r>
    <r>
      <rPr>
        <sz val="11"/>
        <rFont val="Calibri"/>
        <family val="2"/>
      </rPr>
      <t xml:space="preserve"> </t>
    </r>
    <r>
      <rPr>
        <sz val="11"/>
        <rFont val="맑은 고딕"/>
        <family val="3"/>
        <charset val="129"/>
      </rPr>
      <t>신정</t>
    </r>
    <phoneticPr fontId="2" type="noConversion"/>
  </si>
  <si>
    <r>
      <t>2019</t>
    </r>
    <r>
      <rPr>
        <sz val="11"/>
        <rFont val="맑은 고딕"/>
        <family val="3"/>
        <charset val="129"/>
      </rPr>
      <t>년</t>
    </r>
    <r>
      <rPr>
        <sz val="11"/>
        <rFont val="Calibri"/>
        <family val="2"/>
      </rPr>
      <t xml:space="preserve"> </t>
    </r>
    <r>
      <rPr>
        <sz val="11"/>
        <rFont val="맑은 고딕"/>
        <family val="3"/>
        <charset val="129"/>
      </rPr>
      <t>설연휴</t>
    </r>
    <phoneticPr fontId="2" type="noConversion"/>
  </si>
  <si>
    <r>
      <t>2019</t>
    </r>
    <r>
      <rPr>
        <sz val="11"/>
        <rFont val="맑은 고딕"/>
        <family val="3"/>
        <charset val="129"/>
      </rPr>
      <t>년</t>
    </r>
    <r>
      <rPr>
        <sz val="11"/>
        <rFont val="Calibri"/>
        <family val="2"/>
      </rPr>
      <t xml:space="preserve"> </t>
    </r>
    <r>
      <rPr>
        <sz val="11"/>
        <rFont val="맑은 고딕"/>
        <family val="3"/>
        <charset val="129"/>
      </rPr>
      <t>설날</t>
    </r>
    <phoneticPr fontId="2" type="noConversion"/>
  </si>
  <si>
    <r>
      <t>2019</t>
    </r>
    <r>
      <rPr>
        <sz val="11"/>
        <rFont val="맑은 고딕"/>
        <family val="3"/>
        <charset val="129"/>
      </rPr>
      <t>년</t>
    </r>
    <r>
      <rPr>
        <sz val="11"/>
        <rFont val="Calibri"/>
        <family val="2"/>
      </rPr>
      <t xml:space="preserve"> </t>
    </r>
    <r>
      <rPr>
        <sz val="11"/>
        <rFont val="맑은 고딕"/>
        <family val="3"/>
        <charset val="129"/>
      </rPr>
      <t>삼일절</t>
    </r>
  </si>
  <si>
    <r>
      <t>2019</t>
    </r>
    <r>
      <rPr>
        <sz val="11"/>
        <rFont val="맑은 고딕"/>
        <family val="3"/>
        <charset val="129"/>
      </rPr>
      <t>년</t>
    </r>
    <r>
      <rPr>
        <sz val="11"/>
        <rFont val="Calibri"/>
        <family val="2"/>
      </rPr>
      <t xml:space="preserve"> </t>
    </r>
    <r>
      <rPr>
        <sz val="11"/>
        <rFont val="맑은 고딕"/>
        <family val="3"/>
        <charset val="129"/>
      </rPr>
      <t>어린이날</t>
    </r>
    <r>
      <rPr>
        <sz val="11"/>
        <rFont val="Calibri"/>
        <family val="2"/>
      </rPr>
      <t xml:space="preserve"> </t>
    </r>
    <r>
      <rPr>
        <sz val="11"/>
        <rFont val="맑은 고딕"/>
        <family val="3"/>
        <charset val="129"/>
      </rPr>
      <t>대체휴일</t>
    </r>
  </si>
  <si>
    <r>
      <t>2019</t>
    </r>
    <r>
      <rPr>
        <sz val="11"/>
        <rFont val="맑은 고딕"/>
        <family val="3"/>
        <charset val="129"/>
      </rPr>
      <t>년</t>
    </r>
    <r>
      <rPr>
        <sz val="11"/>
        <rFont val="Calibri"/>
        <family val="2"/>
      </rPr>
      <t xml:space="preserve"> </t>
    </r>
    <r>
      <rPr>
        <sz val="11"/>
        <rFont val="맑은 고딕"/>
        <family val="3"/>
        <charset val="129"/>
      </rPr>
      <t>현충일</t>
    </r>
  </si>
  <si>
    <r>
      <t>2019</t>
    </r>
    <r>
      <rPr>
        <sz val="11"/>
        <rFont val="맑은 고딕"/>
        <family val="3"/>
        <charset val="129"/>
      </rPr>
      <t>년</t>
    </r>
    <r>
      <rPr>
        <sz val="11"/>
        <rFont val="Calibri"/>
        <family val="2"/>
      </rPr>
      <t xml:space="preserve"> </t>
    </r>
    <r>
      <rPr>
        <sz val="11"/>
        <rFont val="맑은 고딕"/>
        <family val="3"/>
        <charset val="129"/>
      </rPr>
      <t>광복절</t>
    </r>
  </si>
  <si>
    <r>
      <t>2019</t>
    </r>
    <r>
      <rPr>
        <sz val="11"/>
        <rFont val="맑은 고딕"/>
        <family val="3"/>
        <charset val="129"/>
      </rPr>
      <t>년</t>
    </r>
    <r>
      <rPr>
        <sz val="11"/>
        <rFont val="Calibri"/>
        <family val="2"/>
      </rPr>
      <t xml:space="preserve"> </t>
    </r>
    <r>
      <rPr>
        <sz val="11"/>
        <rFont val="맑은 고딕"/>
        <family val="3"/>
        <charset val="129"/>
      </rPr>
      <t>추석연휴</t>
    </r>
  </si>
  <si>
    <r>
      <t>2019</t>
    </r>
    <r>
      <rPr>
        <sz val="11"/>
        <rFont val="맑은 고딕"/>
        <family val="3"/>
        <charset val="129"/>
      </rPr>
      <t>년</t>
    </r>
    <r>
      <rPr>
        <sz val="11"/>
        <rFont val="Calibri"/>
        <family val="2"/>
      </rPr>
      <t xml:space="preserve"> </t>
    </r>
    <r>
      <rPr>
        <sz val="11"/>
        <rFont val="맑은 고딕"/>
        <family val="3"/>
        <charset val="129"/>
      </rPr>
      <t>추석</t>
    </r>
    <phoneticPr fontId="2" type="noConversion"/>
  </si>
  <si>
    <r>
      <t>2019</t>
    </r>
    <r>
      <rPr>
        <sz val="11"/>
        <rFont val="맑은 고딕"/>
        <family val="3"/>
        <charset val="129"/>
      </rPr>
      <t>년</t>
    </r>
    <r>
      <rPr>
        <sz val="11"/>
        <rFont val="Calibri"/>
        <family val="2"/>
      </rPr>
      <t xml:space="preserve"> </t>
    </r>
    <r>
      <rPr>
        <sz val="11"/>
        <rFont val="맑은 고딕"/>
        <family val="3"/>
        <charset val="129"/>
      </rPr>
      <t>개천절</t>
    </r>
  </si>
  <si>
    <r>
      <t>2019</t>
    </r>
    <r>
      <rPr>
        <sz val="11"/>
        <rFont val="맑은 고딕"/>
        <family val="3"/>
        <charset val="129"/>
      </rPr>
      <t>년</t>
    </r>
    <r>
      <rPr>
        <sz val="11"/>
        <rFont val="Calibri"/>
        <family val="2"/>
      </rPr>
      <t xml:space="preserve"> </t>
    </r>
    <r>
      <rPr>
        <sz val="11"/>
        <rFont val="맑은 고딕"/>
        <family val="3"/>
        <charset val="129"/>
      </rPr>
      <t>한글날</t>
    </r>
  </si>
  <si>
    <r>
      <t>2019</t>
    </r>
    <r>
      <rPr>
        <sz val="11"/>
        <rFont val="맑은 고딕"/>
        <family val="3"/>
        <charset val="129"/>
      </rPr>
      <t>년</t>
    </r>
    <r>
      <rPr>
        <sz val="11"/>
        <rFont val="Calibri"/>
        <family val="2"/>
      </rPr>
      <t xml:space="preserve"> </t>
    </r>
    <r>
      <rPr>
        <sz val="11"/>
        <rFont val="맑은 고딕"/>
        <family val="3"/>
        <charset val="129"/>
      </rPr>
      <t>성탄절</t>
    </r>
  </si>
  <si>
    <t>G</t>
  </si>
  <si>
    <t>1</t>
  </si>
  <si>
    <t>1.1</t>
  </si>
  <si>
    <t>1.1.2</t>
  </si>
  <si>
    <t>1.2</t>
  </si>
  <si>
    <t>1.3</t>
  </si>
  <si>
    <t>2</t>
  </si>
  <si>
    <t>2.1</t>
  </si>
  <si>
    <t>2.2</t>
  </si>
  <si>
    <t>2.2.2</t>
  </si>
  <si>
    <t>2.3</t>
  </si>
  <si>
    <t>2.3.1</t>
  </si>
  <si>
    <t>2.3.1.2</t>
  </si>
  <si>
    <t>2.3.2</t>
  </si>
  <si>
    <t>2.4</t>
  </si>
  <si>
    <t>2.4.1</t>
  </si>
  <si>
    <t>2.4.2</t>
  </si>
  <si>
    <t>메모장</t>
    <phoneticPr fontId="8" type="noConversion"/>
  </si>
  <si>
    <t>Display font color to the gray for the completed tasks</t>
    <phoneticPr fontId="2" type="noConversion"/>
  </si>
  <si>
    <t>ace</t>
    <phoneticPr fontId="8" type="noConversion"/>
  </si>
  <si>
    <t>txt</t>
    <phoneticPr fontId="8" type="noConversion"/>
  </si>
  <si>
    <r>
      <t xml:space="preserve">  XLGantt 2.1.0 </t>
    </r>
    <r>
      <rPr>
        <b/>
        <sz val="14"/>
        <color rgb="FFFF8800"/>
        <rFont val="돋움"/>
        <family val="3"/>
        <charset val="129"/>
      </rPr>
      <t>ⓒ</t>
    </r>
    <r>
      <rPr>
        <b/>
        <sz val="14"/>
        <color rgb="FFFF8800"/>
        <rFont val="Calibri"/>
        <family val="2"/>
      </rPr>
      <t>XLWorks</t>
    </r>
  </si>
  <si>
    <t>1:English,82:Korean</t>
    <phoneticPr fontId="2" type="noConversion"/>
  </si>
  <si>
    <t>실제 진행된 작업량</t>
    <phoneticPr fontId="8" type="noConversion"/>
  </si>
  <si>
    <t>* 프로젝트 작업량과 진척율을 보여줍니다.</t>
    <phoneticPr fontId="8" type="noConversion"/>
  </si>
  <si>
    <t>* "스케줄업데이트" 버튼 클릭 시 아래 항목이 자동계산됩니다.</t>
    <phoneticPr fontId="8" type="noConversion"/>
  </si>
  <si>
    <t>프로젝트 전체 작업량</t>
    <phoneticPr fontId="8" type="noConversion"/>
  </si>
  <si>
    <t>프로젝트 전체의 작업량을 Man/Day로 표시한다. 가중치를 적용한 값이다.</t>
    <phoneticPr fontId="8" type="noConversion"/>
  </si>
  <si>
    <t>현재일까지 계획된 작업량</t>
    <phoneticPr fontId="8" type="noConversion"/>
  </si>
  <si>
    <t>해당작업의 시작일부터 현재일까지의 작업기간을 의미함(현재 날짜까지 진행되었어야 할 기간)</t>
    <phoneticPr fontId="8" type="noConversion"/>
  </si>
  <si>
    <t>일정변경 관리할 때 현재까지 실제로 투입된 작업기간을 표시함</t>
    <phoneticPr fontId="8" type="noConversion"/>
  </si>
  <si>
    <t>계획 진척율(A)</t>
    <phoneticPr fontId="8" type="noConversion"/>
  </si>
  <si>
    <t>현재날짜까지 계획된 진척율, WBS의 "계획진척율"의 전체 합계 진척율을 표시함</t>
    <phoneticPr fontId="8" type="noConversion"/>
  </si>
  <si>
    <t>실적 진척율(B)</t>
    <phoneticPr fontId="8" type="noConversion"/>
  </si>
  <si>
    <t>현재날짜까지 실제로 진행된 진척율, WBS의 "실적진척율"의 전체 합계 진척율을 표시함</t>
    <phoneticPr fontId="8" type="noConversion"/>
  </si>
  <si>
    <t>차이(B-A)</t>
    <phoneticPr fontId="8" type="noConversion"/>
  </si>
  <si>
    <t>양수이면 계획보다 빨리 진행, 음수이면 지연</t>
    <phoneticPr fontId="8" type="noConversion"/>
  </si>
  <si>
    <t xml:space="preserve">  주별보기, Zoom 100%</t>
  </si>
  <si>
    <t>담당</t>
    <phoneticPr fontId="8" type="noConversion"/>
  </si>
  <si>
    <t>프로젝트 진행율 - 일정변경 관리하지 않을때</t>
    <phoneticPr fontId="8" type="noConversion"/>
  </si>
  <si>
    <t>시작일</t>
  </si>
  <si>
    <t>완료일</t>
  </si>
  <si>
    <t>[담당자미지정]</t>
  </si>
  <si>
    <t xml:space="preserve"> 프로젝트 휴무일 Calendar 설정</t>
    <phoneticPr fontId="8" type="noConversion"/>
  </si>
  <si>
    <t>여기에는 프로젝트의 휴무일만 입력하세요.휴무일을 제외한 날짜는 근무일자로 설정됩니다. _x000D_
휴무일을 입력해야 작업기간 계산시 반영합니다. 입력한 일자만큼 작업기간에서 제외합니다._x000D_
(단, 옵션창의 캘린더 설정에 따라 휴무일계산방법은 달라질 수 있습니다.)_x000D_
표준캘린더는 기본으로 적용되는 캘린더이며 특정 작업에 다른 캘린더를 지정하고 싶으면 "사용자정의 캘린더1", "사용자정의 캘린더2"에 휴무일을 지정하여 사용합니다.</t>
    <phoneticPr fontId="8" type="noConversion"/>
  </si>
  <si>
    <t>표준캘린더</t>
    <phoneticPr fontId="8" type="noConversion"/>
  </si>
  <si>
    <t>사용자정의 캘린더1</t>
    <phoneticPr fontId="8" type="noConversion"/>
  </si>
  <si>
    <t>사용자정의 캘린더2</t>
    <phoneticPr fontId="8" type="noConversion"/>
  </si>
  <si>
    <t>휴무일명</t>
    <phoneticPr fontId="8" type="noConversion"/>
  </si>
  <si>
    <t>휴무일명</t>
    <phoneticPr fontId="8" type="noConversion"/>
  </si>
  <si>
    <t>휴무일자</t>
    <phoneticPr fontId="8" type="noConversion"/>
  </si>
  <si>
    <t>휴무일자</t>
    <phoneticPr fontId="8" type="noConversion"/>
  </si>
  <si>
    <t>더 이상 입력불가</t>
    <phoneticPr fontId="8" type="noConversion"/>
  </si>
  <si>
    <t>총_x000D_
작업량</t>
    <phoneticPr fontId="8" type="noConversion"/>
  </si>
  <si>
    <t>가중치</t>
    <phoneticPr fontId="8" type="noConversion"/>
  </si>
  <si>
    <t>자동지정</t>
    <phoneticPr fontId="8" type="noConversion"/>
  </si>
  <si>
    <t>doc*</t>
    <phoneticPr fontId="8" type="noConversion"/>
  </si>
  <si>
    <t>Auto CAD</t>
    <phoneticPr fontId="8" type="noConversion"/>
  </si>
  <si>
    <t>E</t>
    <phoneticPr fontId="2" type="noConversion"/>
  </si>
  <si>
    <t>wbs_level</t>
    <phoneticPr fontId="8" type="noConversion"/>
  </si>
  <si>
    <t>총_x000D_
기간</t>
    <phoneticPr fontId="8" type="noConversion"/>
  </si>
  <si>
    <t>실적*</t>
    <phoneticPr fontId="8" type="noConversion"/>
  </si>
  <si>
    <t>TODAY</t>
    <phoneticPr fontId="2" type="noConversion"/>
  </si>
  <si>
    <t>DEFINED</t>
    <phoneticPr fontId="8" type="noConversion"/>
  </si>
  <si>
    <t>아크로에디터</t>
    <phoneticPr fontId="8" type="noConversion"/>
  </si>
  <si>
    <t>C:\WINDOWS\system32\notepad.exe</t>
    <phoneticPr fontId="8" type="noConversion"/>
  </si>
  <si>
    <t>비고</t>
    <phoneticPr fontId="8" type="noConversion"/>
  </si>
  <si>
    <t>시작일*</t>
    <phoneticPr fontId="8" type="noConversion"/>
  </si>
  <si>
    <t>Calendar</t>
    <phoneticPr fontId="8" type="noConversion"/>
  </si>
  <si>
    <t>계획_x000D_
기간</t>
    <phoneticPr fontId="8" type="noConversion"/>
  </si>
  <si>
    <t>실제_x000D_
완료일</t>
    <phoneticPr fontId="8" type="noConversion"/>
  </si>
  <si>
    <t>{"TASK_FIRST_COL":"5","START_ROW":"5","WBS_AREA_LAST_COL":"28"}</t>
    <phoneticPr fontId="8" type="noConversion"/>
  </si>
  <si>
    <t>WBS</t>
    <phoneticPr fontId="8" type="noConversion"/>
  </si>
  <si>
    <t>작업*</t>
    <phoneticPr fontId="8" type="noConversion"/>
  </si>
  <si>
    <t>완료일*</t>
    <phoneticPr fontId="8" type="noConversion"/>
  </si>
  <si>
    <t>실제_x000D_
시작일</t>
    <phoneticPr fontId="8" type="noConversion"/>
  </si>
  <si>
    <t>실제_x000D_
총작업량</t>
    <phoneticPr fontId="8" type="noConversion"/>
  </si>
  <si>
    <t>실제_x000D_
총기간</t>
    <phoneticPr fontId="8" type="noConversion"/>
  </si>
  <si>
    <t>파워포인트</t>
    <phoneticPr fontId="8" type="noConversion"/>
  </si>
  <si>
    <t>ppt*</t>
    <phoneticPr fontId="8" type="noConversion"/>
  </si>
  <si>
    <t>워드</t>
    <phoneticPr fontId="8" type="noConversion"/>
  </si>
  <si>
    <t>엑셀</t>
    <phoneticPr fontId="8" type="noConversion"/>
  </si>
  <si>
    <t>xls*</t>
    <phoneticPr fontId="8" type="noConversion"/>
  </si>
  <si>
    <t>cad</t>
    <phoneticPr fontId="8" type="noConversion"/>
  </si>
  <si>
    <t>c:\cad\cad\cad.exe</t>
    <phoneticPr fontId="8" type="noConversion"/>
  </si>
  <si>
    <t>c:\ace\aaa.exe</t>
    <phoneticPr fontId="8" type="noConversion"/>
  </si>
  <si>
    <t>계획진척율(주별)</t>
  </si>
  <si>
    <t>* 주별로 프로젝트의 계획진적율을 보여줍니다.</t>
  </si>
  <si>
    <t>* "계획진척율" 메뉴를 클릭해야 갱신됨</t>
  </si>
  <si>
    <t>누적_x000D_
Man-Day</t>
  </si>
  <si>
    <t>진척율</t>
  </si>
  <si>
    <t>reserved</t>
    <phoneticPr fontId="8" type="noConversion"/>
  </si>
  <si>
    <t>task_group</t>
    <phoneticPr fontId="8" type="noConversion"/>
  </si>
  <si>
    <t>산출물</t>
    <phoneticPr fontId="8" type="noConversion"/>
  </si>
  <si>
    <t>일정변경관리 하지 않을 때 현재까지 실제로 진행된 작업기간을 표시함(총기간 x 총실적진행율)</t>
    <phoneticPr fontId="8" type="noConversion"/>
  </si>
  <si>
    <t>SCHEDULE_SHEET_POSITION:3545121314151617181920212223242526272829</t>
    <phoneticPr fontId="2" type="noConversion"/>
  </si>
  <si>
    <t>계획_x000D_
작업량</t>
    <phoneticPr fontId="8" type="noConversion"/>
  </si>
  <si>
    <t>계획</t>
    <phoneticPr fontId="8" type="noConversion"/>
  </si>
  <si>
    <t>중간 점검</t>
  </si>
  <si>
    <t>발표전 최종 점검</t>
  </si>
  <si>
    <t>프로젝트 발표</t>
  </si>
  <si>
    <t>데이터베이스 설계</t>
  </si>
  <si>
    <t>서버 프로그램 구조 설계</t>
  </si>
  <si>
    <t>컨베이어 및 기구물 설계</t>
  </si>
  <si>
    <t>Pi 프로그램 설계</t>
  </si>
  <si>
    <t>2.2.4</t>
  </si>
  <si>
    <t>2.2.5</t>
  </si>
  <si>
    <t>UI</t>
  </si>
  <si>
    <t>데이터베이스</t>
  </si>
  <si>
    <t>서버</t>
  </si>
  <si>
    <t>Pi</t>
  </si>
  <si>
    <t>기구 및 모터 제어</t>
  </si>
  <si>
    <t>2.3.1.3</t>
  </si>
  <si>
    <t>컨베이어 및 카메라 거치대 제작</t>
  </si>
  <si>
    <t>테스트 및 디버깅</t>
  </si>
  <si>
    <t>개별 테스트 진행</t>
  </si>
  <si>
    <t>통합 테스트 실시</t>
  </si>
  <si>
    <t>스마트 팩토리 프로젝트</t>
    <phoneticPr fontId="2" type="noConversion"/>
  </si>
  <si>
    <t>요구사항 명세서</t>
  </si>
  <si>
    <t>서버 수신 데이터 화면 표시 기능</t>
  </si>
  <si>
    <t>서버와 데이터 송수신 기능</t>
  </si>
  <si>
    <t>2.3.1.1.1</t>
  </si>
  <si>
    <t>2.3.1.1.2</t>
  </si>
  <si>
    <t>컨베이어 제어</t>
  </si>
  <si>
    <t>서보 모터 제어</t>
  </si>
  <si>
    <t>센서 상태 수신</t>
  </si>
  <si>
    <t>2.3.2.1.1</t>
  </si>
  <si>
    <t>2.3.2.1.2</t>
  </si>
  <si>
    <t>2.3.2.1.3</t>
  </si>
  <si>
    <t>2.3.2.1.4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</si>
</sst>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76" formatCode="0_);[Red]\(0\)"/>
    <numFmt numFmtId="177" formatCode="0.0"/>
    <numFmt numFmtId="178" formatCode="mm\/dd"/>
    <numFmt numFmtId="179" formatCode="0.0_);[Red]\(0.0\)"/>
    <numFmt numFmtId="180" formatCode="0.00_);[Red]\(0.00\)"/>
  </numFmts>
  <fonts count="47">
    <font>
      <sz val="11"/>
      <color theme="1"/>
      <name val="맑은 고딕"/>
      <family val="2"/>
      <scheme val="minor"/>
    </font>
    <font>
      <sz val="10"/>
      <color theme="0"/>
      <name val="맑은 고딕"/>
      <family val="2"/>
      <charset val="129"/>
    </font>
    <font>
      <sz val="8"/>
      <name val="맑은 고딕"/>
      <family val="3"/>
      <charset val="129"/>
      <scheme val="minor"/>
    </font>
    <font>
      <b/>
      <sz val="14"/>
      <color rgb="FF0070C0"/>
      <name val="Calibri"/>
      <family val="2"/>
    </font>
    <font>
      <b/>
      <sz val="16"/>
      <name val="Calibri"/>
      <family val="2"/>
    </font>
    <font>
      <u/>
      <sz val="11"/>
      <color theme="10"/>
      <name val="돋움"/>
      <family val="3"/>
      <charset val="129"/>
    </font>
    <font>
      <b/>
      <sz val="12"/>
      <color rgb="FF0070C0"/>
      <name val="Calibri"/>
      <family val="2"/>
    </font>
    <font>
      <b/>
      <sz val="14"/>
      <color rgb="FFFF8800"/>
      <name val="Calibri"/>
      <family val="2"/>
    </font>
    <font>
      <sz val="8"/>
      <name val="돋움"/>
      <family val="3"/>
      <charset val="129"/>
    </font>
    <font>
      <sz val="11"/>
      <name val="돋움"/>
      <family val="3"/>
      <charset val="129"/>
    </font>
    <font>
      <sz val="9"/>
      <color rgb="FF0070C0"/>
      <name val="Calibri"/>
      <family val="2"/>
    </font>
    <font>
      <sz val="9"/>
      <color theme="0"/>
      <name val="Calibri"/>
      <family val="2"/>
    </font>
    <font>
      <sz val="9"/>
      <name val="Calibri"/>
      <family val="2"/>
    </font>
    <font>
      <sz val="9"/>
      <color rgb="FFFF8800"/>
      <name val="Calibri"/>
      <family val="2"/>
    </font>
    <font>
      <b/>
      <sz val="16"/>
      <color rgb="FF0070C0"/>
      <name val="Calibri"/>
      <family val="2"/>
    </font>
    <font>
      <b/>
      <sz val="16"/>
      <color theme="0"/>
      <name val="Calibri"/>
      <family val="2"/>
    </font>
    <font>
      <sz val="11"/>
      <name val="Calibri"/>
      <family val="2"/>
    </font>
    <font>
      <sz val="10"/>
      <name val="Calibri"/>
      <family val="2"/>
    </font>
    <font>
      <sz val="10"/>
      <color rgb="FF0070C0"/>
      <name val="Calibri"/>
      <family val="2"/>
    </font>
    <font>
      <b/>
      <sz val="10"/>
      <color rgb="FF0070C0"/>
      <name val="Calibri"/>
      <family val="2"/>
    </font>
    <font>
      <b/>
      <sz val="10"/>
      <name val="Calibri"/>
      <family val="2"/>
    </font>
    <font>
      <sz val="14"/>
      <name val="Calibri"/>
      <family val="2"/>
    </font>
    <font>
      <sz val="11"/>
      <color theme="0"/>
      <name val="Calibri"/>
      <family val="2"/>
    </font>
    <font>
      <sz val="12"/>
      <color rgb="FF222222"/>
      <name val="Calibri"/>
      <family val="2"/>
    </font>
    <font>
      <sz val="11"/>
      <color theme="1"/>
      <name val="맑은 고딕"/>
      <family val="3"/>
      <charset val="129"/>
      <scheme val="minor"/>
    </font>
    <font>
      <sz val="10"/>
      <color theme="1"/>
      <name val="Calibri"/>
      <family val="2"/>
    </font>
    <font>
      <sz val="11"/>
      <name val="CA"/>
      <family val="2"/>
    </font>
    <font>
      <sz val="11"/>
      <color theme="1"/>
      <name val="맑은 고딕"/>
      <family val="2"/>
      <scheme val="minor"/>
    </font>
    <font>
      <b/>
      <sz val="9"/>
      <color rgb="FFFF8800"/>
      <name val="Calibri"/>
      <family val="2"/>
    </font>
    <font>
      <b/>
      <sz val="16"/>
      <color theme="1" tint="0.34998626667073579"/>
      <name val="Calibri"/>
      <family val="2"/>
    </font>
    <font>
      <b/>
      <sz val="12"/>
      <color theme="1" tint="0.34998626667073579"/>
      <name val="Calibri"/>
      <family val="2"/>
    </font>
    <font>
      <sz val="9"/>
      <color theme="1" tint="0.34998626667073579"/>
      <name val="Calibri"/>
      <family val="2"/>
    </font>
    <font>
      <b/>
      <sz val="9"/>
      <color theme="1" tint="0.34998626667073579"/>
      <name val="Calibri"/>
      <family val="2"/>
    </font>
    <font>
      <sz val="11"/>
      <color rgb="FF0070C0"/>
      <name val="Calibri"/>
      <family val="2"/>
    </font>
    <font>
      <sz val="9"/>
      <color theme="1"/>
      <name val="맑은 고딕"/>
      <family val="2"/>
      <scheme val="minor"/>
    </font>
    <font>
      <sz val="9"/>
      <color theme="1"/>
      <name val="Calibri"/>
      <family val="2"/>
    </font>
    <font>
      <sz val="9"/>
      <color theme="1"/>
      <name val="돋움"/>
      <family val="3"/>
      <charset val="129"/>
    </font>
    <font>
      <sz val="10"/>
      <color theme="1"/>
      <name val="돋움"/>
      <family val="3"/>
      <charset val="129"/>
    </font>
    <font>
      <sz val="9"/>
      <color rgb="FFFF0000"/>
      <name val="Calibri"/>
      <family val="2"/>
    </font>
    <font>
      <sz val="9"/>
      <color rgb="FFFF0000"/>
      <name val="맑은 고딕"/>
      <family val="2"/>
      <scheme val="minor"/>
    </font>
    <font>
      <sz val="10"/>
      <color rgb="FFFF0000"/>
      <name val="Calibri"/>
      <family val="2"/>
    </font>
    <font>
      <sz val="9"/>
      <color theme="1"/>
      <name val="맑은 고딕"/>
      <family val="2"/>
    </font>
    <font>
      <sz val="11"/>
      <name val="맑은 고딕"/>
      <family val="3"/>
      <charset val="129"/>
    </font>
    <font>
      <b/>
      <sz val="14"/>
      <color rgb="FFFF8800"/>
      <name val="돋움"/>
      <family val="3"/>
      <charset val="129"/>
    </font>
    <font>
      <sz val="9"/>
      <name val="맑은 고딕"/>
      <family val="2"/>
      <charset val="129"/>
    </font>
    <font>
      <sz val="9"/>
      <name val="맑은 고딕"/>
      <family val="3"/>
      <charset val="129"/>
    </font>
    <font>
      <sz val="9"/>
      <name val="돋움"/>
      <family val="2"/>
      <charset val="129"/>
    </font>
  </fonts>
  <fills count="12">
    <fill>
      <patternFill patternType="none"/>
    </fill>
    <fill>
      <patternFill patternType="gray125"/>
    </fill>
    <fill>
      <patternFill patternType="solid">
        <fgColor theme="8"/>
      </patternFill>
    </fill>
    <fill>
      <patternFill patternType="solid">
        <fgColor theme="0"/>
        <bgColor indexed="64"/>
      </patternFill>
    </fill>
    <fill>
      <patternFill patternType="solid">
        <fgColor rgb="FF00B0F0"/>
        <bgColor indexed="64"/>
      </patternFill>
    </fill>
    <fill>
      <patternFill patternType="solid">
        <fgColor rgb="FFFF8800"/>
        <bgColor indexed="64"/>
      </patternFill>
    </fill>
    <fill>
      <patternFill patternType="solid">
        <fgColor theme="0" tint="-0.14999847407452621"/>
        <bgColor indexed="64"/>
      </patternFill>
    </fill>
    <fill>
      <patternFill patternType="solid">
        <fgColor rgb="FFEAEAEA"/>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rgb="FF3399FF"/>
        <bgColor indexed="64"/>
      </patternFill>
    </fill>
    <fill>
      <patternFill patternType="solid">
        <fgColor rgb="FFF2F2FF"/>
        <bgColor indexed="64"/>
      </patternFill>
    </fill>
  </fills>
  <borders count="27">
    <border>
      <left/>
      <right/>
      <top/>
      <bottom/>
      <diagonal/>
    </border>
    <border>
      <left/>
      <right style="thin">
        <color theme="0"/>
      </right>
      <top/>
      <bottom/>
      <diagonal/>
    </border>
    <border>
      <left style="thin">
        <color theme="0"/>
      </left>
      <right style="thin">
        <color theme="0"/>
      </right>
      <top/>
      <bottom/>
      <diagonal/>
    </border>
    <border>
      <left style="thin">
        <color theme="0"/>
      </left>
      <right/>
      <top/>
      <bottom/>
      <diagonal/>
    </border>
    <border>
      <left style="thin">
        <color theme="0"/>
      </left>
      <right style="thin">
        <color theme="0" tint="-4.9989318521683403E-2"/>
      </right>
      <top/>
      <bottom/>
      <diagonal/>
    </border>
    <border>
      <left style="thin">
        <color theme="0" tint="-4.9989318521683403E-2"/>
      </left>
      <right style="thin">
        <color theme="0" tint="-4.9989318521683403E-2"/>
      </right>
      <top/>
      <bottom/>
      <diagonal/>
    </border>
    <border>
      <left style="thin">
        <color theme="0" tint="-4.9989318521683403E-2"/>
      </left>
      <right style="thin">
        <color theme="0"/>
      </right>
      <top/>
      <bottom/>
      <diagonal/>
    </border>
    <border>
      <left style="thin">
        <color theme="0" tint="-0.1498764000366222"/>
      </left>
      <right style="thin">
        <color theme="0" tint="-0.1498764000366222"/>
      </right>
      <top style="thin">
        <color theme="0" tint="-0.1498764000366222"/>
      </top>
      <bottom style="thin">
        <color theme="0" tint="-0.1498764000366222"/>
      </bottom>
      <diagonal/>
    </border>
    <border>
      <left style="thin">
        <color theme="0"/>
      </left>
      <right style="thin">
        <color theme="0"/>
      </right>
      <top style="thin">
        <color theme="0"/>
      </top>
      <bottom style="thin">
        <color theme="0"/>
      </bottom>
      <diagonal/>
    </border>
    <border>
      <left/>
      <right/>
      <top style="thin">
        <color theme="0"/>
      </top>
      <bottom style="thin">
        <color theme="0"/>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right/>
      <top style="thin">
        <color theme="0" tint="-0.14993743705557422"/>
      </top>
      <bottom/>
      <diagonal/>
    </border>
    <border>
      <left style="thin">
        <color indexed="64"/>
      </left>
      <right style="thin">
        <color indexed="64"/>
      </right>
      <top style="thin">
        <color indexed="64"/>
      </top>
      <bottom style="thin">
        <color indexed="64"/>
      </bottom>
      <diagonal/>
    </border>
    <border>
      <left/>
      <right/>
      <top/>
      <bottom style="thin">
        <color theme="0" tint="-0.14996795556505021"/>
      </bottom>
      <diagonal/>
    </border>
    <border>
      <left/>
      <right/>
      <top style="thin">
        <color theme="0" tint="-0.14996795556505021"/>
      </top>
      <bottom/>
      <diagonal/>
    </border>
    <border>
      <left/>
      <right/>
      <top/>
      <bottom style="thin">
        <color theme="0" tint="-0.14993743705557422"/>
      </bottom>
      <diagonal/>
    </border>
    <border>
      <left/>
      <right/>
      <top/>
      <bottom style="thin">
        <color theme="0" tint="-0.14990691854609822"/>
      </bottom>
      <diagonal/>
    </border>
    <border>
      <left/>
      <right/>
      <top style="thin">
        <color theme="0" tint="-0.14990691854609822"/>
      </top>
      <bottom/>
      <diagonal/>
    </border>
    <border>
      <left/>
      <right/>
      <top/>
      <bottom style="thin">
        <color theme="0" tint="-0.1498764000366222"/>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right/>
      <top/>
      <bottom style="thin">
        <color indexed="64"/>
      </bottom>
      <diagonal/>
    </border>
    <border>
      <left/>
      <right style="thin">
        <color theme="0"/>
      </right>
      <top style="thin">
        <color theme="0"/>
      </top>
      <bottom style="thin">
        <color theme="0"/>
      </bottom>
      <diagonal/>
    </border>
    <border>
      <left style="thin">
        <color theme="0" tint="-0.14996795556505021"/>
      </left>
      <right style="thin">
        <color theme="0" tint="-0.14996795556505021"/>
      </right>
      <top/>
      <bottom style="thin">
        <color theme="0" tint="-0.14996795556505021"/>
      </bottom>
      <diagonal/>
    </border>
    <border>
      <left/>
      <right/>
      <top/>
      <bottom style="thin">
        <color theme="0"/>
      </bottom>
      <diagonal/>
    </border>
    <border>
      <left style="thin">
        <color indexed="64"/>
      </left>
      <right style="thin">
        <color indexed="64"/>
      </right>
      <top style="thin">
        <color indexed="64"/>
      </top>
      <bottom/>
      <diagonal/>
    </border>
    <border>
      <left style="thin">
        <color theme="0" tint="-0.1498764000366222"/>
      </left>
      <right style="thin">
        <color theme="0" tint="-0.1498764000366222"/>
      </right>
      <top/>
      <bottom style="thin">
        <color theme="0" tint="-0.1498764000366222"/>
      </bottom>
      <diagonal/>
    </border>
    <border>
      <left/>
      <right/>
      <top style="thin">
        <color theme="0" tint="-0.14993743705557422"/>
      </top>
      <bottom style="thin">
        <color theme="0" tint="-0.14993743705557422"/>
      </bottom>
      <diagonal/>
    </border>
  </borders>
  <cellStyleXfs count="7">
    <xf numFmtId="0" fontId="0" fillId="0" borderId="0"/>
    <xf numFmtId="0" fontId="1" fillId="2" borderId="0" applyNumberFormat="0" applyBorder="0" applyAlignment="0" applyProtection="0">
      <alignment vertical="center"/>
    </xf>
    <xf numFmtId="0" fontId="5" fillId="0" borderId="0" applyNumberFormat="0" applyFill="0" applyBorder="0" applyAlignment="0" applyProtection="0"/>
    <xf numFmtId="9" fontId="9" fillId="0" borderId="0" applyFont="0" applyFill="0" applyBorder="0" applyAlignment="0" applyProtection="0">
      <alignment vertical="center"/>
    </xf>
    <xf numFmtId="0" fontId="9" fillId="0" borderId="0"/>
    <xf numFmtId="0" fontId="24" fillId="0" borderId="0"/>
    <xf numFmtId="9" fontId="27" fillId="0" borderId="0" applyFont="0" applyFill="0" applyBorder="0" applyAlignment="0" applyProtection="0">
      <alignment vertical="center"/>
    </xf>
  </cellStyleXfs>
  <cellXfs count="252">
    <xf numFmtId="0" fontId="0" fillId="0" borderId="0" xfId="0"/>
    <xf numFmtId="0" fontId="12" fillId="0" borderId="0" xfId="1" applyFont="1" applyFill="1" applyBorder="1" applyAlignment="1">
      <alignment horizontal="left" vertical="center"/>
    </xf>
    <xf numFmtId="0" fontId="12" fillId="0" borderId="2" xfId="4" applyFont="1" applyFill="1" applyBorder="1" applyAlignment="1" applyProtection="1">
      <alignment horizontal="left" vertical="center"/>
    </xf>
    <xf numFmtId="0" fontId="12" fillId="0" borderId="7" xfId="4" quotePrefix="1" applyFont="1" applyFill="1" applyBorder="1" applyAlignment="1" applyProtection="1">
      <alignment horizontal="right" vertical="top"/>
      <protection locked="0"/>
    </xf>
    <xf numFmtId="0" fontId="12" fillId="0" borderId="8" xfId="4" applyFont="1" applyFill="1" applyBorder="1" applyAlignment="1" applyProtection="1">
      <alignment horizontal="left" vertical="center"/>
      <protection locked="0"/>
    </xf>
    <xf numFmtId="0" fontId="12" fillId="0" borderId="10" xfId="4" applyFont="1" applyFill="1" applyBorder="1" applyAlignment="1" applyProtection="1">
      <alignment horizontal="right" vertical="top"/>
      <protection locked="0"/>
    </xf>
    <xf numFmtId="0" fontId="12" fillId="0" borderId="10" xfId="4" applyFont="1" applyFill="1" applyBorder="1" applyAlignment="1" applyProtection="1">
      <alignment horizontal="left" vertical="top"/>
      <protection locked="0"/>
    </xf>
    <xf numFmtId="14" fontId="12" fillId="0" borderId="10" xfId="4" applyNumberFormat="1" applyFont="1" applyFill="1" applyBorder="1" applyAlignment="1" applyProtection="1">
      <alignment horizontal="center" vertical="top"/>
      <protection locked="0"/>
    </xf>
    <xf numFmtId="0" fontId="12" fillId="0" borderId="10" xfId="4" applyNumberFormat="1" applyFont="1" applyFill="1" applyBorder="1" applyAlignment="1" applyProtection="1">
      <alignment horizontal="left" vertical="top"/>
      <protection locked="0"/>
    </xf>
    <xf numFmtId="176" fontId="12" fillId="0" borderId="10" xfId="4" applyNumberFormat="1" applyFont="1" applyFill="1" applyBorder="1" applyAlignment="1" applyProtection="1">
      <alignment horizontal="center" vertical="top"/>
      <protection locked="0"/>
    </xf>
    <xf numFmtId="0" fontId="12" fillId="0" borderId="10" xfId="4" applyNumberFormat="1" applyFont="1" applyFill="1" applyBorder="1" applyAlignment="1" applyProtection="1">
      <alignment horizontal="center" vertical="top"/>
      <protection locked="0"/>
    </xf>
    <xf numFmtId="177" fontId="12" fillId="0" borderId="10" xfId="4" applyNumberFormat="1" applyFont="1" applyFill="1" applyBorder="1" applyAlignment="1" applyProtection="1">
      <alignment horizontal="center" vertical="top"/>
      <protection locked="0"/>
    </xf>
    <xf numFmtId="1" fontId="12" fillId="0" borderId="10" xfId="4" applyNumberFormat="1" applyFont="1" applyFill="1" applyBorder="1" applyAlignment="1" applyProtection="1">
      <alignment horizontal="center" vertical="top"/>
      <protection locked="0"/>
    </xf>
    <xf numFmtId="179" fontId="12" fillId="0" borderId="10" xfId="4" applyNumberFormat="1" applyFont="1" applyFill="1" applyBorder="1" applyAlignment="1" applyProtection="1">
      <alignment horizontal="center" vertical="top"/>
      <protection locked="0"/>
    </xf>
    <xf numFmtId="14" fontId="12" fillId="0" borderId="10" xfId="4" applyNumberFormat="1" applyFont="1" applyFill="1" applyBorder="1" applyAlignment="1" applyProtection="1">
      <alignment horizontal="left" vertical="top"/>
      <protection locked="0"/>
    </xf>
    <xf numFmtId="10" fontId="12" fillId="0" borderId="10" xfId="3" applyNumberFormat="1" applyFont="1" applyFill="1" applyBorder="1" applyAlignment="1" applyProtection="1">
      <alignment horizontal="right" vertical="top" wrapText="1"/>
      <protection locked="0"/>
    </xf>
    <xf numFmtId="10" fontId="12" fillId="0" borderId="10" xfId="3" applyNumberFormat="1" applyFont="1" applyFill="1" applyBorder="1" applyAlignment="1" applyProtection="1">
      <alignment horizontal="right" vertical="top"/>
      <protection locked="0"/>
    </xf>
    <xf numFmtId="0" fontId="14" fillId="0" borderId="0" xfId="1" applyFont="1" applyFill="1" applyBorder="1" applyAlignment="1">
      <alignment vertical="center"/>
    </xf>
    <xf numFmtId="0" fontId="10" fillId="0" borderId="0" xfId="1" applyFont="1" applyFill="1" applyBorder="1" applyAlignment="1">
      <alignment vertical="center"/>
    </xf>
    <xf numFmtId="14" fontId="15" fillId="0" borderId="0" xfId="4" applyNumberFormat="1" applyFont="1" applyFill="1" applyBorder="1" applyAlignment="1" applyProtection="1">
      <alignment vertical="center"/>
    </xf>
    <xf numFmtId="14" fontId="16" fillId="0" borderId="0" xfId="4" applyNumberFormat="1" applyFont="1" applyFill="1" applyBorder="1" applyAlignment="1" applyProtection="1">
      <alignment vertical="center"/>
    </xf>
    <xf numFmtId="14" fontId="17" fillId="3" borderId="0" xfId="4" quotePrefix="1" applyNumberFormat="1" applyFont="1" applyFill="1" applyBorder="1" applyProtection="1"/>
    <xf numFmtId="14" fontId="17" fillId="3" borderId="0" xfId="4" applyNumberFormat="1" applyFont="1" applyFill="1" applyBorder="1" applyAlignment="1" applyProtection="1">
      <alignment vertical="center"/>
    </xf>
    <xf numFmtId="0" fontId="17" fillId="3" borderId="0" xfId="4" applyFont="1" applyFill="1" applyBorder="1" applyProtection="1"/>
    <xf numFmtId="176" fontId="19" fillId="3" borderId="0" xfId="4" applyNumberFormat="1" applyFont="1" applyFill="1" applyBorder="1" applyAlignment="1" applyProtection="1">
      <alignment vertical="center"/>
      <protection locked="0"/>
    </xf>
    <xf numFmtId="14" fontId="18" fillId="3" borderId="0" xfId="4" applyNumberFormat="1" applyFont="1" applyFill="1" applyBorder="1" applyAlignment="1" applyProtection="1">
      <alignment vertical="center"/>
    </xf>
    <xf numFmtId="14" fontId="17" fillId="0" borderId="11" xfId="4" applyNumberFormat="1" applyFont="1" applyFill="1" applyBorder="1" applyAlignment="1" applyProtection="1">
      <alignment vertical="top"/>
      <protection locked="0"/>
    </xf>
    <xf numFmtId="14" fontId="17" fillId="0" borderId="11" xfId="4" applyNumberFormat="1" applyFont="1" applyFill="1" applyBorder="1" applyAlignment="1" applyProtection="1">
      <alignment vertical="center"/>
      <protection locked="0"/>
    </xf>
    <xf numFmtId="0" fontId="17" fillId="0" borderId="11" xfId="4" applyFont="1" applyFill="1" applyBorder="1" applyAlignment="1" applyProtection="1">
      <alignment vertical="top"/>
      <protection locked="0"/>
    </xf>
    <xf numFmtId="0" fontId="17" fillId="0" borderId="11" xfId="4" applyFont="1" applyFill="1" applyBorder="1" applyAlignment="1" applyProtection="1">
      <alignment vertical="center" wrapText="1"/>
      <protection locked="0"/>
    </xf>
    <xf numFmtId="0" fontId="17" fillId="0" borderId="11" xfId="4" applyFont="1" applyFill="1" applyBorder="1" applyAlignment="1" applyProtection="1">
      <alignment vertical="center"/>
      <protection locked="0"/>
    </xf>
    <xf numFmtId="0" fontId="17" fillId="0" borderId="0" xfId="4" applyFont="1" applyFill="1" applyBorder="1" applyAlignment="1" applyProtection="1">
      <alignment vertical="top"/>
      <protection locked="0"/>
    </xf>
    <xf numFmtId="14" fontId="20" fillId="0" borderId="0" xfId="4" applyNumberFormat="1" applyFont="1" applyFill="1" applyBorder="1" applyAlignment="1" applyProtection="1">
      <alignment horizontal="right" vertical="top"/>
      <protection locked="0"/>
    </xf>
    <xf numFmtId="180" fontId="17" fillId="6" borderId="12" xfId="4" applyNumberFormat="1" applyFont="1" applyFill="1" applyBorder="1" applyAlignment="1" applyProtection="1">
      <alignment vertical="center"/>
      <protection locked="0"/>
    </xf>
    <xf numFmtId="14" fontId="20" fillId="0" borderId="13" xfId="4" applyNumberFormat="1" applyFont="1" applyFill="1" applyBorder="1" applyAlignment="1" applyProtection="1">
      <alignment horizontal="right" vertical="top"/>
      <protection locked="0"/>
    </xf>
    <xf numFmtId="14" fontId="17" fillId="0" borderId="13" xfId="4" applyNumberFormat="1" applyFont="1" applyFill="1" applyBorder="1" applyAlignment="1" applyProtection="1">
      <alignment vertical="center"/>
      <protection locked="0"/>
    </xf>
    <xf numFmtId="0" fontId="17" fillId="0" borderId="13" xfId="4" applyFont="1" applyFill="1" applyBorder="1" applyAlignment="1" applyProtection="1">
      <alignment vertical="top"/>
      <protection locked="0"/>
    </xf>
    <xf numFmtId="0" fontId="17" fillId="0" borderId="13" xfId="4" applyFont="1" applyFill="1" applyBorder="1" applyAlignment="1" applyProtection="1">
      <alignment vertical="center"/>
      <protection locked="0"/>
    </xf>
    <xf numFmtId="14" fontId="20" fillId="0" borderId="0" xfId="4" applyNumberFormat="1" applyFont="1" applyFill="1" applyBorder="1" applyAlignment="1" applyProtection="1">
      <alignment vertical="top"/>
      <protection locked="0"/>
    </xf>
    <xf numFmtId="14" fontId="17" fillId="0" borderId="0" xfId="4" applyNumberFormat="1" applyFont="1" applyFill="1" applyBorder="1" applyAlignment="1" applyProtection="1">
      <alignment vertical="center"/>
      <protection locked="0"/>
    </xf>
    <xf numFmtId="0" fontId="17" fillId="0" borderId="14" xfId="4" applyFont="1" applyFill="1" applyBorder="1" applyAlignment="1" applyProtection="1">
      <alignment vertical="center" wrapText="1"/>
      <protection locked="0"/>
    </xf>
    <xf numFmtId="14" fontId="17" fillId="0" borderId="0" xfId="4" applyNumberFormat="1" applyFont="1" applyFill="1" applyBorder="1" applyAlignment="1" applyProtection="1">
      <alignment vertical="top"/>
      <protection locked="0"/>
    </xf>
    <xf numFmtId="14" fontId="20" fillId="0" borderId="13" xfId="4" applyNumberFormat="1" applyFont="1" applyFill="1" applyBorder="1" applyAlignment="1" applyProtection="1">
      <alignment vertical="top"/>
      <protection locked="0"/>
    </xf>
    <xf numFmtId="0" fontId="17" fillId="0" borderId="13" xfId="4" applyFont="1" applyFill="1" applyBorder="1" applyAlignment="1" applyProtection="1">
      <alignment vertical="center" wrapText="1"/>
      <protection locked="0"/>
    </xf>
    <xf numFmtId="14" fontId="20" fillId="0" borderId="14" xfId="4" applyNumberFormat="1" applyFont="1" applyFill="1" applyBorder="1" applyAlignment="1" applyProtection="1">
      <alignment vertical="center" wrapText="1"/>
      <protection locked="0"/>
    </xf>
    <xf numFmtId="14" fontId="20" fillId="0" borderId="0" xfId="4" applyNumberFormat="1" applyFont="1" applyFill="1" applyBorder="1" applyAlignment="1" applyProtection="1">
      <alignment horizontal="right" vertical="center" wrapText="1"/>
      <protection locked="0"/>
    </xf>
    <xf numFmtId="14" fontId="20" fillId="0" borderId="13" xfId="4" applyNumberFormat="1" applyFont="1" applyFill="1" applyBorder="1" applyAlignment="1" applyProtection="1">
      <alignment vertical="center" wrapText="1"/>
      <protection locked="0"/>
    </xf>
    <xf numFmtId="0" fontId="17" fillId="0" borderId="13" xfId="4" applyFont="1" applyFill="1" applyBorder="1" applyProtection="1">
      <protection locked="0"/>
    </xf>
    <xf numFmtId="0" fontId="17" fillId="0" borderId="0" xfId="4" applyFont="1" applyFill="1" applyBorder="1" applyProtection="1">
      <protection locked="0"/>
    </xf>
    <xf numFmtId="14" fontId="17" fillId="0" borderId="0" xfId="4" applyNumberFormat="1" applyFont="1" applyFill="1" applyBorder="1" applyProtection="1">
      <protection locked="0"/>
    </xf>
    <xf numFmtId="14" fontId="17" fillId="0" borderId="14" xfId="4" applyNumberFormat="1" applyFont="1" applyFill="1" applyBorder="1" applyAlignment="1" applyProtection="1">
      <alignment vertical="center"/>
      <protection locked="0"/>
    </xf>
    <xf numFmtId="0" fontId="17" fillId="0" borderId="14" xfId="4" applyFont="1" applyFill="1" applyBorder="1" applyProtection="1">
      <protection locked="0"/>
    </xf>
    <xf numFmtId="14" fontId="17" fillId="0" borderId="15" xfId="4" applyNumberFormat="1" applyFont="1" applyFill="1" applyBorder="1" applyAlignment="1" applyProtection="1">
      <alignment vertical="center"/>
      <protection locked="0"/>
    </xf>
    <xf numFmtId="0" fontId="17" fillId="0" borderId="15" xfId="4" applyFont="1" applyFill="1" applyBorder="1" applyAlignment="1" applyProtection="1">
      <alignment vertical="top"/>
      <protection locked="0"/>
    </xf>
    <xf numFmtId="14" fontId="20" fillId="0" borderId="14" xfId="4" applyNumberFormat="1" applyFont="1" applyFill="1" applyBorder="1" applyProtection="1">
      <protection locked="0"/>
    </xf>
    <xf numFmtId="10" fontId="17" fillId="6" borderId="12" xfId="3" applyNumberFormat="1" applyFont="1" applyFill="1" applyBorder="1" applyAlignment="1" applyProtection="1">
      <alignment vertical="center"/>
      <protection locked="0"/>
    </xf>
    <xf numFmtId="14" fontId="20" fillId="0" borderId="15" xfId="4" applyNumberFormat="1" applyFont="1" applyFill="1" applyBorder="1" applyAlignment="1" applyProtection="1">
      <alignment horizontal="right" vertical="top"/>
      <protection locked="0"/>
    </xf>
    <xf numFmtId="14" fontId="20" fillId="0" borderId="11" xfId="4" applyNumberFormat="1" applyFont="1" applyFill="1" applyBorder="1" applyAlignment="1" applyProtection="1">
      <alignment horizontal="right" vertical="top"/>
      <protection locked="0"/>
    </xf>
    <xf numFmtId="14" fontId="20" fillId="0" borderId="16" xfId="4" applyNumberFormat="1" applyFont="1" applyFill="1" applyBorder="1" applyAlignment="1" applyProtection="1">
      <alignment horizontal="right" vertical="top"/>
      <protection locked="0"/>
    </xf>
    <xf numFmtId="14" fontId="17" fillId="0" borderId="16" xfId="4" applyNumberFormat="1" applyFont="1" applyFill="1" applyBorder="1" applyAlignment="1" applyProtection="1">
      <alignment vertical="center"/>
      <protection locked="0"/>
    </xf>
    <xf numFmtId="0" fontId="17" fillId="0" borderId="16" xfId="4" applyFont="1" applyFill="1" applyBorder="1" applyAlignment="1" applyProtection="1">
      <alignment vertical="top"/>
      <protection locked="0"/>
    </xf>
    <xf numFmtId="14" fontId="20" fillId="0" borderId="17" xfId="4" applyNumberFormat="1" applyFont="1" applyFill="1" applyBorder="1" applyAlignment="1" applyProtection="1">
      <alignment vertical="top"/>
      <protection locked="0"/>
    </xf>
    <xf numFmtId="14" fontId="17" fillId="0" borderId="17" xfId="4" applyNumberFormat="1" applyFont="1" applyFill="1" applyBorder="1" applyAlignment="1" applyProtection="1">
      <alignment vertical="center"/>
      <protection locked="0"/>
    </xf>
    <xf numFmtId="0" fontId="17" fillId="0" borderId="17" xfId="4" applyFont="1" applyFill="1" applyBorder="1" applyAlignment="1" applyProtection="1">
      <alignment vertical="top"/>
      <protection locked="0"/>
    </xf>
    <xf numFmtId="0" fontId="17" fillId="0" borderId="14" xfId="4" applyFont="1" applyFill="1" applyBorder="1" applyAlignment="1" applyProtection="1">
      <alignment vertical="center"/>
      <protection locked="0"/>
    </xf>
    <xf numFmtId="10" fontId="17" fillId="6" borderId="12" xfId="3" applyNumberFormat="1" applyFont="1" applyFill="1" applyBorder="1" applyAlignment="1" applyProtection="1">
      <alignment vertical="center"/>
    </xf>
    <xf numFmtId="14" fontId="17" fillId="0" borderId="18" xfId="4" applyNumberFormat="1" applyFont="1" applyFill="1" applyBorder="1" applyAlignment="1" applyProtection="1">
      <alignment horizontal="right" vertical="top"/>
      <protection locked="0"/>
    </xf>
    <xf numFmtId="14" fontId="17" fillId="0" borderId="18" xfId="4" applyNumberFormat="1" applyFont="1" applyFill="1" applyBorder="1" applyAlignment="1" applyProtection="1">
      <alignment vertical="center"/>
      <protection locked="0"/>
    </xf>
    <xf numFmtId="0" fontId="17" fillId="0" borderId="18" xfId="4" applyFont="1" applyFill="1" applyBorder="1" applyAlignment="1" applyProtection="1">
      <alignment vertical="top"/>
      <protection locked="0"/>
    </xf>
    <xf numFmtId="0" fontId="17" fillId="0" borderId="18" xfId="4" applyFont="1" applyFill="1" applyBorder="1" applyAlignment="1" applyProtection="1">
      <alignment vertical="center"/>
      <protection locked="0"/>
    </xf>
    <xf numFmtId="14" fontId="16" fillId="0" borderId="0" xfId="4" applyNumberFormat="1" applyFont="1" applyFill="1" applyBorder="1" applyAlignment="1" applyProtection="1">
      <alignment vertical="top"/>
      <protection locked="0"/>
    </xf>
    <xf numFmtId="14" fontId="16" fillId="0" borderId="0" xfId="4" applyNumberFormat="1" applyFont="1" applyFill="1" applyBorder="1" applyAlignment="1" applyProtection="1">
      <alignment vertical="center"/>
      <protection locked="0"/>
    </xf>
    <xf numFmtId="0" fontId="16" fillId="0" borderId="0" xfId="4" applyFont="1" applyFill="1" applyBorder="1" applyAlignment="1" applyProtection="1">
      <alignment vertical="top"/>
      <protection locked="0"/>
    </xf>
    <xf numFmtId="14" fontId="16" fillId="0" borderId="0" xfId="4" applyNumberFormat="1" applyFont="1" applyFill="1" applyBorder="1" applyProtection="1">
      <protection locked="0"/>
    </xf>
    <xf numFmtId="180" fontId="16" fillId="0" borderId="0" xfId="3" applyNumberFormat="1" applyFont="1" applyFill="1" applyBorder="1" applyAlignment="1" applyProtection="1">
      <alignment vertical="center"/>
      <protection locked="0"/>
    </xf>
    <xf numFmtId="0" fontId="16" fillId="0" borderId="0" xfId="4" applyFont="1" applyFill="1" applyBorder="1" applyProtection="1">
      <protection locked="0"/>
    </xf>
    <xf numFmtId="1" fontId="16" fillId="0" borderId="0" xfId="4" applyNumberFormat="1" applyFont="1" applyFill="1" applyBorder="1" applyAlignment="1" applyProtection="1">
      <alignment vertical="center"/>
      <protection locked="0"/>
    </xf>
    <xf numFmtId="176" fontId="16" fillId="0" borderId="0" xfId="4" applyNumberFormat="1" applyFont="1" applyFill="1" applyBorder="1" applyAlignment="1" applyProtection="1">
      <alignment vertical="center"/>
      <protection locked="0"/>
    </xf>
    <xf numFmtId="0" fontId="14" fillId="0" borderId="0" xfId="4" applyFont="1" applyFill="1" applyBorder="1" applyAlignment="1">
      <alignment vertical="center"/>
    </xf>
    <xf numFmtId="0" fontId="16" fillId="7" borderId="1" xfId="4" applyFont="1" applyFill="1" applyBorder="1" applyAlignment="1">
      <alignment horizontal="left" wrapText="1"/>
    </xf>
    <xf numFmtId="14" fontId="16" fillId="0" borderId="0" xfId="4" applyNumberFormat="1" applyFont="1" applyFill="1" applyProtection="1"/>
    <xf numFmtId="14" fontId="16" fillId="3" borderId="0" xfId="4" applyNumberFormat="1" applyFont="1" applyFill="1" applyAlignment="1" applyProtection="1">
      <alignment vertical="top"/>
    </xf>
    <xf numFmtId="14" fontId="22" fillId="4" borderId="19" xfId="4" applyNumberFormat="1" applyFont="1" applyFill="1" applyBorder="1" applyAlignment="1" applyProtection="1">
      <alignment horizontal="center" vertical="center"/>
    </xf>
    <xf numFmtId="14" fontId="16" fillId="0" borderId="0" xfId="4" applyNumberFormat="1" applyFont="1" applyAlignment="1" applyProtection="1">
      <alignment horizontal="center" vertical="center"/>
    </xf>
    <xf numFmtId="14" fontId="16" fillId="8" borderId="19" xfId="4" applyNumberFormat="1" applyFont="1" applyFill="1" applyBorder="1" applyProtection="1">
      <protection locked="0"/>
    </xf>
    <xf numFmtId="14" fontId="16" fillId="0" borderId="19" xfId="4" applyNumberFormat="1" applyFont="1" applyBorder="1" applyProtection="1">
      <protection locked="0"/>
    </xf>
    <xf numFmtId="14" fontId="16" fillId="0" borderId="0" xfId="4" applyNumberFormat="1" applyFont="1" applyProtection="1"/>
    <xf numFmtId="0" fontId="23" fillId="0" borderId="0" xfId="4" applyFont="1"/>
    <xf numFmtId="14" fontId="16" fillId="0" borderId="19" xfId="4" applyNumberFormat="1" applyFont="1" applyBorder="1" applyProtection="1"/>
    <xf numFmtId="0" fontId="26" fillId="0" borderId="0" xfId="4" applyNumberFormat="1" applyFont="1" applyFill="1" applyBorder="1" applyAlignment="1" applyProtection="1">
      <alignment horizontal="center"/>
      <protection locked="0"/>
    </xf>
    <xf numFmtId="14" fontId="26" fillId="0" borderId="0" xfId="4" applyNumberFormat="1" applyFont="1" applyFill="1" applyBorder="1" applyAlignment="1" applyProtection="1">
      <alignment horizontal="center"/>
      <protection locked="0"/>
    </xf>
    <xf numFmtId="0" fontId="26" fillId="0" borderId="0" xfId="4" applyFont="1" applyFill="1" applyBorder="1" applyAlignment="1" applyProtection="1">
      <alignment horizontal="center"/>
      <protection locked="0"/>
    </xf>
    <xf numFmtId="0" fontId="26" fillId="0" borderId="0" xfId="4" applyFont="1" applyFill="1" applyBorder="1" applyProtection="1">
      <protection locked="0"/>
    </xf>
    <xf numFmtId="0" fontId="26" fillId="0" borderId="0" xfId="4" applyNumberFormat="1" applyFont="1" applyFill="1" applyBorder="1" applyAlignment="1" applyProtection="1">
      <alignment horizontal="right"/>
      <protection locked="0"/>
    </xf>
    <xf numFmtId="0" fontId="26" fillId="0" borderId="0" xfId="4" applyNumberFormat="1" applyFont="1" applyFill="1" applyBorder="1" applyAlignment="1" applyProtection="1">
      <alignment horizontal="left"/>
      <protection locked="0"/>
    </xf>
    <xf numFmtId="14" fontId="26" fillId="0" borderId="0" xfId="4" applyNumberFormat="1" applyFont="1" applyFill="1" applyBorder="1" applyProtection="1">
      <protection locked="0"/>
    </xf>
    <xf numFmtId="14" fontId="26" fillId="0" borderId="0" xfId="4" applyNumberFormat="1" applyFont="1" applyFill="1" applyBorder="1" applyAlignment="1" applyProtection="1">
      <alignment horizontal="left"/>
      <protection locked="0"/>
    </xf>
    <xf numFmtId="10" fontId="12" fillId="0" borderId="7" xfId="6" applyNumberFormat="1" applyFont="1" applyFill="1" applyBorder="1" applyAlignment="1" applyProtection="1">
      <alignment horizontal="right" vertical="top" wrapText="1"/>
      <protection locked="0"/>
    </xf>
    <xf numFmtId="0" fontId="17" fillId="9" borderId="20" xfId="4" applyFont="1" applyFill="1" applyBorder="1" applyAlignment="1">
      <alignment horizontal="left" vertical="top"/>
    </xf>
    <xf numFmtId="0" fontId="17" fillId="0" borderId="0" xfId="4" applyFont="1" applyFill="1" applyAlignment="1">
      <alignment horizontal="left" vertical="top"/>
    </xf>
    <xf numFmtId="0" fontId="17" fillId="0" borderId="0" xfId="4" applyFont="1" applyFill="1" applyBorder="1" applyAlignment="1">
      <alignment vertical="top"/>
    </xf>
    <xf numFmtId="0" fontId="17" fillId="0" borderId="0" xfId="4" applyFont="1" applyFill="1" applyBorder="1" applyAlignment="1">
      <alignment horizontal="left" vertical="top"/>
    </xf>
    <xf numFmtId="0" fontId="17" fillId="0" borderId="0" xfId="4" applyFont="1" applyFill="1" applyAlignment="1">
      <alignment vertical="top"/>
    </xf>
    <xf numFmtId="0" fontId="17" fillId="0" borderId="0" xfId="4" quotePrefix="1" applyFont="1" applyFill="1" applyBorder="1" applyAlignment="1">
      <alignment horizontal="left" vertical="top"/>
    </xf>
    <xf numFmtId="14" fontId="17" fillId="0" borderId="0" xfId="4" applyNumberFormat="1" applyFont="1" applyFill="1" applyBorder="1" applyAlignment="1">
      <alignment horizontal="left" vertical="top"/>
    </xf>
    <xf numFmtId="0" fontId="17" fillId="0" borderId="20" xfId="4" applyFont="1" applyFill="1" applyBorder="1" applyAlignment="1">
      <alignment vertical="top"/>
    </xf>
    <xf numFmtId="0" fontId="17" fillId="0" borderId="20" xfId="4" applyFont="1" applyFill="1" applyBorder="1" applyAlignment="1">
      <alignment horizontal="left" vertical="top"/>
    </xf>
    <xf numFmtId="14" fontId="17" fillId="0" borderId="0" xfId="4" applyNumberFormat="1" applyFont="1" applyFill="1" applyAlignment="1">
      <alignment horizontal="left" vertical="top"/>
    </xf>
    <xf numFmtId="1" fontId="17" fillId="0" borderId="0" xfId="4" applyNumberFormat="1" applyFont="1" applyFill="1" applyAlignment="1">
      <alignment horizontal="left" vertical="top"/>
    </xf>
    <xf numFmtId="22" fontId="17" fillId="0" borderId="0" xfId="4" applyNumberFormat="1" applyFont="1" applyFill="1" applyAlignment="1">
      <alignment horizontal="left" vertical="top"/>
    </xf>
    <xf numFmtId="14" fontId="17" fillId="0" borderId="0" xfId="4" applyNumberFormat="1" applyFont="1" applyFill="1" applyAlignment="1">
      <alignment vertical="top"/>
    </xf>
    <xf numFmtId="0" fontId="25" fillId="0" borderId="0" xfId="0" applyFont="1" applyAlignment="1"/>
    <xf numFmtId="178" fontId="13" fillId="5" borderId="4" xfId="4" applyNumberFormat="1" applyFont="1" applyFill="1" applyBorder="1" applyAlignment="1" applyProtection="1">
      <alignment horizontal="left" vertical="center"/>
    </xf>
    <xf numFmtId="178" fontId="13" fillId="5" borderId="5" xfId="4" applyNumberFormat="1" applyFont="1" applyFill="1" applyBorder="1" applyAlignment="1" applyProtection="1">
      <alignment horizontal="left" vertical="center"/>
    </xf>
    <xf numFmtId="0" fontId="12" fillId="0" borderId="9" xfId="4" applyFont="1" applyFill="1" applyBorder="1" applyAlignment="1" applyProtection="1">
      <alignment horizontal="left" vertical="center"/>
      <protection locked="0"/>
    </xf>
    <xf numFmtId="178" fontId="13" fillId="5" borderId="6" xfId="4" applyNumberFormat="1" applyFont="1" applyFill="1" applyBorder="1" applyAlignment="1" applyProtection="1">
      <alignment horizontal="left" vertical="center"/>
    </xf>
    <xf numFmtId="0" fontId="12" fillId="0" borderId="7" xfId="4" applyFont="1" applyFill="1" applyBorder="1" applyAlignment="1" applyProtection="1">
      <alignment vertical="top"/>
      <protection locked="0"/>
    </xf>
    <xf numFmtId="0" fontId="12" fillId="0" borderId="10" xfId="4" applyFont="1" applyFill="1" applyBorder="1" applyAlignment="1" applyProtection="1">
      <alignment vertical="top"/>
      <protection locked="0"/>
    </xf>
    <xf numFmtId="14" fontId="16" fillId="8" borderId="19" xfId="0" applyNumberFormat="1" applyFont="1" applyFill="1" applyBorder="1" applyProtection="1">
      <protection locked="0"/>
    </xf>
    <xf numFmtId="14" fontId="16" fillId="0" borderId="19" xfId="0" applyNumberFormat="1" applyFont="1" applyBorder="1" applyProtection="1">
      <protection locked="0"/>
    </xf>
    <xf numFmtId="14" fontId="16" fillId="0" borderId="19" xfId="0" applyNumberFormat="1" applyFont="1" applyFill="1" applyBorder="1" applyProtection="1">
      <protection locked="0"/>
    </xf>
    <xf numFmtId="0" fontId="13" fillId="0" borderId="1" xfId="4" applyFont="1" applyFill="1" applyBorder="1" applyAlignment="1" applyProtection="1">
      <alignment horizontal="left" vertical="center"/>
    </xf>
    <xf numFmtId="0" fontId="13" fillId="0" borderId="2" xfId="4" applyFont="1" applyFill="1" applyBorder="1" applyAlignment="1" applyProtection="1">
      <alignment horizontal="left" vertical="center"/>
    </xf>
    <xf numFmtId="0" fontId="12" fillId="0" borderId="21" xfId="4" applyFont="1" applyFill="1" applyBorder="1" applyAlignment="1" applyProtection="1">
      <alignment horizontal="left" vertical="center"/>
      <protection locked="0"/>
    </xf>
    <xf numFmtId="0" fontId="11" fillId="4" borderId="1" xfId="4" applyFont="1" applyFill="1" applyBorder="1" applyAlignment="1">
      <alignment horizontal="center" vertical="center"/>
    </xf>
    <xf numFmtId="0" fontId="11" fillId="4" borderId="1" xfId="4" applyFont="1" applyFill="1" applyBorder="1" applyAlignment="1">
      <alignment horizontal="center" vertical="center" wrapText="1"/>
    </xf>
    <xf numFmtId="0" fontId="34" fillId="0" borderId="0" xfId="0" applyFont="1" applyAlignment="1">
      <alignment vertical="top"/>
    </xf>
    <xf numFmtId="0" fontId="34" fillId="0" borderId="0" xfId="0" applyFont="1" applyAlignment="1">
      <alignment vertical="top" wrapText="1"/>
    </xf>
    <xf numFmtId="0" fontId="35" fillId="0" borderId="0" xfId="5" applyFont="1" applyFill="1" applyBorder="1" applyAlignment="1">
      <alignment horizontal="left" vertical="top" wrapText="1"/>
    </xf>
    <xf numFmtId="0" fontId="35" fillId="0" borderId="0" xfId="5" applyFont="1" applyFill="1" applyBorder="1" applyAlignment="1">
      <alignment horizontal="left" vertical="top"/>
    </xf>
    <xf numFmtId="0" fontId="12" fillId="0" borderId="0" xfId="4" applyFont="1" applyAlignment="1">
      <alignment vertical="top"/>
    </xf>
    <xf numFmtId="0" fontId="12" fillId="0" borderId="0" xfId="5" applyFont="1" applyFill="1" applyBorder="1" applyAlignment="1">
      <alignment horizontal="left" vertical="top"/>
    </xf>
    <xf numFmtId="0" fontId="35" fillId="0" borderId="0" xfId="5" applyNumberFormat="1" applyFont="1" applyFill="1" applyBorder="1" applyAlignment="1">
      <alignment horizontal="left" vertical="top" wrapText="1"/>
    </xf>
    <xf numFmtId="14" fontId="35" fillId="0" borderId="0" xfId="5" applyNumberFormat="1" applyFont="1" applyFill="1" applyBorder="1" applyAlignment="1">
      <alignment horizontal="left" vertical="top" wrapText="1"/>
    </xf>
    <xf numFmtId="0" fontId="25" fillId="0" borderId="0" xfId="5" applyFont="1" applyFill="1" applyBorder="1" applyAlignment="1">
      <alignment horizontal="left" vertical="top" wrapText="1"/>
    </xf>
    <xf numFmtId="0" fontId="16" fillId="0" borderId="0" xfId="4" applyFont="1" applyAlignment="1">
      <alignment vertical="top"/>
    </xf>
    <xf numFmtId="0" fontId="39" fillId="0" borderId="0" xfId="0" applyFont="1" applyAlignment="1">
      <alignment vertical="top"/>
    </xf>
    <xf numFmtId="0" fontId="40" fillId="0" borderId="0" xfId="5" applyFont="1" applyFill="1" applyBorder="1" applyAlignment="1">
      <alignment horizontal="left" vertical="top" wrapText="1"/>
    </xf>
    <xf numFmtId="0" fontId="38" fillId="0" borderId="0" xfId="5" applyFont="1" applyFill="1" applyBorder="1" applyAlignment="1">
      <alignment horizontal="left" vertical="top"/>
    </xf>
    <xf numFmtId="0" fontId="34" fillId="0" borderId="0" xfId="0" applyFont="1" applyAlignment="1">
      <alignment horizontal="center" vertical="top"/>
    </xf>
    <xf numFmtId="0" fontId="35" fillId="0" borderId="0" xfId="0" applyFont="1" applyAlignment="1">
      <alignment vertical="top" wrapText="1"/>
    </xf>
    <xf numFmtId="0" fontId="14" fillId="11" borderId="0" xfId="1" applyFont="1" applyFill="1" applyBorder="1" applyAlignment="1">
      <alignment horizontal="left" vertical="top"/>
    </xf>
    <xf numFmtId="0" fontId="6" fillId="11" borderId="0" xfId="1" applyFont="1" applyFill="1" applyBorder="1" applyAlignment="1">
      <alignment horizontal="left" vertical="top"/>
    </xf>
    <xf numFmtId="0" fontId="3" fillId="11" borderId="0" xfId="1" applyFont="1" applyFill="1" applyBorder="1" applyAlignment="1">
      <alignment horizontal="left" vertical="center"/>
    </xf>
    <xf numFmtId="0" fontId="3" fillId="11" borderId="0" xfId="1" applyFont="1" applyFill="1" applyBorder="1" applyAlignment="1">
      <alignment vertical="center"/>
    </xf>
    <xf numFmtId="14" fontId="3" fillId="11" borderId="0" xfId="1" applyNumberFormat="1" applyFont="1" applyFill="1" applyBorder="1" applyAlignment="1">
      <alignment vertical="top"/>
    </xf>
    <xf numFmtId="14" fontId="33" fillId="11" borderId="0" xfId="1" applyNumberFormat="1" applyFont="1" applyFill="1" applyBorder="1" applyAlignment="1">
      <alignment horizontal="left" vertical="top" wrapText="1"/>
    </xf>
    <xf numFmtId="0" fontId="19" fillId="11" borderId="0" xfId="1" applyFont="1" applyFill="1" applyBorder="1" applyAlignment="1">
      <alignment horizontal="center" vertical="top"/>
    </xf>
    <xf numFmtId="0" fontId="14" fillId="11" borderId="0" xfId="1" applyFont="1" applyFill="1" applyBorder="1" applyAlignment="1">
      <alignment horizontal="center" vertical="top"/>
    </xf>
    <xf numFmtId="0" fontId="3" fillId="11" borderId="0" xfId="1" applyNumberFormat="1" applyFont="1" applyFill="1" applyBorder="1" applyAlignment="1">
      <alignment horizontal="center" vertical="top"/>
    </xf>
    <xf numFmtId="14" fontId="3" fillId="11" borderId="0" xfId="1" applyNumberFormat="1" applyFont="1" applyFill="1" applyBorder="1" applyAlignment="1">
      <alignment horizontal="center" vertical="top"/>
    </xf>
    <xf numFmtId="0" fontId="14" fillId="11" borderId="0" xfId="1" applyFont="1" applyFill="1" applyBorder="1" applyAlignment="1">
      <alignment horizontal="left" vertical="center"/>
    </xf>
    <xf numFmtId="1" fontId="3" fillId="11" borderId="0" xfId="1" applyNumberFormat="1" applyFont="1" applyFill="1" applyBorder="1" applyAlignment="1">
      <alignment horizontal="center" vertical="top"/>
    </xf>
    <xf numFmtId="0" fontId="19" fillId="11" borderId="0" xfId="2" applyFont="1" applyFill="1" applyBorder="1" applyAlignment="1">
      <alignment vertical="top" wrapText="1"/>
    </xf>
    <xf numFmtId="0" fontId="19" fillId="11" borderId="0" xfId="2" applyNumberFormat="1" applyFont="1" applyFill="1" applyBorder="1" applyAlignment="1">
      <alignment vertical="top"/>
    </xf>
    <xf numFmtId="0" fontId="19" fillId="11" borderId="0" xfId="2" applyFont="1" applyFill="1" applyBorder="1" applyAlignment="1">
      <alignment vertical="top"/>
    </xf>
    <xf numFmtId="0" fontId="6" fillId="11" borderId="0" xfId="2" applyFont="1" applyFill="1" applyBorder="1" applyAlignment="1">
      <alignment horizontal="right" vertical="top"/>
    </xf>
    <xf numFmtId="0" fontId="6" fillId="11" borderId="0" xfId="2" applyFont="1" applyFill="1" applyBorder="1" applyAlignment="1">
      <alignment horizontal="right" vertical="center"/>
    </xf>
    <xf numFmtId="0" fontId="4" fillId="11" borderId="0" xfId="1" applyFont="1" applyFill="1" applyBorder="1" applyAlignment="1">
      <alignment horizontal="left" vertical="center"/>
    </xf>
    <xf numFmtId="0" fontId="29" fillId="11" borderId="0" xfId="1" applyFont="1" applyFill="1" applyBorder="1" applyAlignment="1">
      <alignment horizontal="left" vertical="top"/>
    </xf>
    <xf numFmtId="0" fontId="30" fillId="11" borderId="0" xfId="1" applyFont="1" applyFill="1" applyBorder="1" applyAlignment="1">
      <alignment horizontal="left" vertical="top"/>
    </xf>
    <xf numFmtId="0" fontId="31" fillId="11" borderId="0" xfId="2" applyNumberFormat="1" applyFont="1" applyFill="1" applyBorder="1" applyAlignment="1">
      <alignment horizontal="right" vertical="center"/>
    </xf>
    <xf numFmtId="10" fontId="31" fillId="11" borderId="0" xfId="3" applyNumberFormat="1" applyFont="1" applyFill="1" applyBorder="1" applyAlignment="1">
      <alignment horizontal="right" vertical="center"/>
    </xf>
    <xf numFmtId="0" fontId="32" fillId="11" borderId="0" xfId="2" applyNumberFormat="1" applyFont="1" applyFill="1" applyBorder="1" applyAlignment="1">
      <alignment vertical="top"/>
    </xf>
    <xf numFmtId="0" fontId="32" fillId="11" borderId="0" xfId="2" applyNumberFormat="1" applyFont="1" applyFill="1" applyBorder="1" applyAlignment="1">
      <alignment horizontal="right" vertical="top"/>
    </xf>
    <xf numFmtId="0" fontId="28" fillId="11" borderId="0" xfId="1" applyFont="1" applyFill="1" applyBorder="1" applyAlignment="1">
      <alignment horizontal="left" vertical="center"/>
    </xf>
    <xf numFmtId="0" fontId="36" fillId="0" borderId="0" xfId="0" applyFont="1" applyAlignment="1">
      <alignment vertical="top" wrapText="1"/>
    </xf>
    <xf numFmtId="0" fontId="41" fillId="0" borderId="0" xfId="0" applyFont="1" applyAlignment="1">
      <alignment vertical="top" wrapText="1"/>
    </xf>
    <xf numFmtId="0" fontId="37" fillId="0" borderId="0" xfId="5" applyFont="1" applyFill="1" applyBorder="1" applyAlignment="1">
      <alignment horizontal="left" vertical="top" wrapText="1"/>
    </xf>
    <xf numFmtId="0" fontId="12" fillId="0" borderId="22" xfId="4" applyFont="1" applyFill="1" applyBorder="1" applyAlignment="1" applyProtection="1">
      <alignment vertical="top"/>
      <protection locked="0"/>
    </xf>
    <xf numFmtId="0" fontId="12" fillId="0" borderId="22" xfId="4" applyFont="1" applyFill="1" applyBorder="1" applyAlignment="1" applyProtection="1">
      <alignment horizontal="right" vertical="top"/>
      <protection locked="0"/>
    </xf>
    <xf numFmtId="0" fontId="12" fillId="0" borderId="22" xfId="4" applyFont="1" applyFill="1" applyBorder="1" applyAlignment="1" applyProtection="1">
      <alignment horizontal="left" vertical="top"/>
      <protection locked="0"/>
    </xf>
    <xf numFmtId="14" fontId="12" fillId="0" borderId="22" xfId="4" applyNumberFormat="1" applyFont="1" applyFill="1" applyBorder="1" applyAlignment="1" applyProtection="1">
      <alignment horizontal="center" vertical="top"/>
      <protection locked="0"/>
    </xf>
    <xf numFmtId="0" fontId="12" fillId="0" borderId="22" xfId="4" applyNumberFormat="1" applyFont="1" applyFill="1" applyBorder="1" applyAlignment="1" applyProtection="1">
      <alignment horizontal="left" vertical="top"/>
      <protection locked="0"/>
    </xf>
    <xf numFmtId="176" fontId="12" fillId="0" borderId="22" xfId="4" applyNumberFormat="1" applyFont="1" applyFill="1" applyBorder="1" applyAlignment="1" applyProtection="1">
      <alignment horizontal="center" vertical="top"/>
      <protection locked="0"/>
    </xf>
    <xf numFmtId="0" fontId="12" fillId="0" borderId="22" xfId="4" applyNumberFormat="1" applyFont="1" applyFill="1" applyBorder="1" applyAlignment="1" applyProtection="1">
      <alignment horizontal="center" vertical="top"/>
      <protection locked="0"/>
    </xf>
    <xf numFmtId="177" fontId="12" fillId="0" borderId="22" xfId="4" applyNumberFormat="1" applyFont="1" applyFill="1" applyBorder="1" applyAlignment="1" applyProtection="1">
      <alignment horizontal="center" vertical="top"/>
      <protection locked="0"/>
    </xf>
    <xf numFmtId="1" fontId="12" fillId="0" borderId="22" xfId="4" applyNumberFormat="1" applyFont="1" applyFill="1" applyBorder="1" applyAlignment="1" applyProtection="1">
      <alignment horizontal="center" vertical="top"/>
      <protection locked="0"/>
    </xf>
    <xf numFmtId="179" fontId="12" fillId="0" borderId="22" xfId="4" applyNumberFormat="1" applyFont="1" applyFill="1" applyBorder="1" applyAlignment="1" applyProtection="1">
      <alignment horizontal="center" vertical="top"/>
      <protection locked="0"/>
    </xf>
    <xf numFmtId="14" fontId="12" fillId="0" borderId="22" xfId="4" applyNumberFormat="1" applyFont="1" applyFill="1" applyBorder="1" applyAlignment="1" applyProtection="1">
      <alignment horizontal="left" vertical="top"/>
      <protection locked="0"/>
    </xf>
    <xf numFmtId="10" fontId="12" fillId="0" borderId="22" xfId="3" applyNumberFormat="1" applyFont="1" applyFill="1" applyBorder="1" applyAlignment="1" applyProtection="1">
      <alignment horizontal="right" vertical="top" wrapText="1"/>
      <protection locked="0"/>
    </xf>
    <xf numFmtId="10" fontId="12" fillId="0" borderId="22" xfId="3" applyNumberFormat="1" applyFont="1" applyFill="1" applyBorder="1" applyAlignment="1" applyProtection="1">
      <alignment horizontal="right" vertical="top"/>
      <protection locked="0"/>
    </xf>
    <xf numFmtId="0" fontId="12" fillId="0" borderId="23" xfId="4" applyFont="1" applyFill="1" applyBorder="1" applyAlignment="1" applyProtection="1">
      <alignment horizontal="left" vertical="center"/>
      <protection locked="0"/>
    </xf>
    <xf numFmtId="0" fontId="16" fillId="7" borderId="2" xfId="4" applyFont="1" applyFill="1" applyBorder="1" applyAlignment="1">
      <alignment horizontal="left" wrapText="1"/>
    </xf>
    <xf numFmtId="0" fontId="12" fillId="0" borderId="7" xfId="4" applyFont="1" applyFill="1" applyBorder="1" applyAlignment="1" applyProtection="1">
      <alignment horizontal="left" vertical="top"/>
      <protection locked="0"/>
    </xf>
    <xf numFmtId="14" fontId="12" fillId="0" borderId="7" xfId="4" applyNumberFormat="1" applyFont="1" applyFill="1" applyBorder="1" applyAlignment="1" applyProtection="1">
      <alignment horizontal="center" vertical="top"/>
      <protection locked="0"/>
    </xf>
    <xf numFmtId="0" fontId="12" fillId="0" borderId="7" xfId="4" applyNumberFormat="1" applyFont="1" applyFill="1" applyBorder="1" applyAlignment="1" applyProtection="1">
      <alignment horizontal="left" vertical="top"/>
      <protection locked="0"/>
    </xf>
    <xf numFmtId="176" fontId="12" fillId="0" borderId="7" xfId="4" applyNumberFormat="1" applyFont="1" applyFill="1" applyBorder="1" applyAlignment="1" applyProtection="1">
      <alignment horizontal="center" vertical="top"/>
      <protection locked="0"/>
    </xf>
    <xf numFmtId="0" fontId="12" fillId="0" borderId="7" xfId="4" applyNumberFormat="1" applyFont="1" applyFill="1" applyBorder="1" applyAlignment="1" applyProtection="1">
      <alignment horizontal="center" vertical="top"/>
      <protection locked="0"/>
    </xf>
    <xf numFmtId="177" fontId="12" fillId="0" borderId="7" xfId="4" applyNumberFormat="1" applyFont="1" applyFill="1" applyBorder="1" applyAlignment="1" applyProtection="1">
      <alignment horizontal="center" vertical="top"/>
      <protection locked="0"/>
    </xf>
    <xf numFmtId="1" fontId="12" fillId="0" borderId="7" xfId="4" applyNumberFormat="1" applyFont="1" applyFill="1" applyBorder="1" applyAlignment="1" applyProtection="1">
      <alignment horizontal="center" vertical="top"/>
      <protection locked="0"/>
    </xf>
    <xf numFmtId="179" fontId="12" fillId="0" borderId="7" xfId="4" applyNumberFormat="1" applyFont="1" applyFill="1" applyBorder="1" applyAlignment="1" applyProtection="1">
      <alignment horizontal="center" vertical="top"/>
      <protection locked="0"/>
    </xf>
    <xf numFmtId="14" fontId="12" fillId="0" borderId="7" xfId="4" applyNumberFormat="1" applyFont="1" applyFill="1" applyBorder="1" applyAlignment="1" applyProtection="1">
      <alignment horizontal="left" vertical="top"/>
      <protection locked="0"/>
    </xf>
    <xf numFmtId="10" fontId="12" fillId="0" borderId="7" xfId="6" applyNumberFormat="1" applyFont="1" applyFill="1" applyBorder="1" applyAlignment="1" applyProtection="1">
      <alignment horizontal="right" vertical="top"/>
      <protection locked="0"/>
    </xf>
    <xf numFmtId="0" fontId="12" fillId="0" borderId="25" xfId="4" applyFont="1" applyFill="1" applyBorder="1" applyAlignment="1" applyProtection="1">
      <alignment vertical="top"/>
      <protection locked="0"/>
    </xf>
    <xf numFmtId="0" fontId="12" fillId="0" borderId="25" xfId="4" quotePrefix="1" applyFont="1" applyFill="1" applyBorder="1" applyAlignment="1" applyProtection="1">
      <alignment horizontal="right" vertical="top"/>
      <protection locked="0"/>
    </xf>
    <xf numFmtId="0" fontId="12" fillId="0" borderId="25" xfId="4" applyFont="1" applyFill="1" applyBorder="1" applyAlignment="1" applyProtection="1">
      <alignment horizontal="left" vertical="top"/>
      <protection locked="0"/>
    </xf>
    <xf numFmtId="14" fontId="12" fillId="0" borderId="25" xfId="4" applyNumberFormat="1" applyFont="1" applyFill="1" applyBorder="1" applyAlignment="1" applyProtection="1">
      <alignment horizontal="center" vertical="top"/>
      <protection locked="0"/>
    </xf>
    <xf numFmtId="0" fontId="12" fillId="0" borderId="25" xfId="4" applyNumberFormat="1" applyFont="1" applyFill="1" applyBorder="1" applyAlignment="1" applyProtection="1">
      <alignment horizontal="left" vertical="top"/>
      <protection locked="0"/>
    </xf>
    <xf numFmtId="176" fontId="12" fillId="0" borderId="25" xfId="4" applyNumberFormat="1" applyFont="1" applyFill="1" applyBorder="1" applyAlignment="1" applyProtection="1">
      <alignment horizontal="center" vertical="top"/>
      <protection locked="0"/>
    </xf>
    <xf numFmtId="0" fontId="12" fillId="0" borderId="25" xfId="4" applyNumberFormat="1" applyFont="1" applyFill="1" applyBorder="1" applyAlignment="1" applyProtection="1">
      <alignment horizontal="center" vertical="top"/>
      <protection locked="0"/>
    </xf>
    <xf numFmtId="177" fontId="12" fillId="0" borderId="25" xfId="4" applyNumberFormat="1" applyFont="1" applyFill="1" applyBorder="1" applyAlignment="1" applyProtection="1">
      <alignment horizontal="center" vertical="top"/>
      <protection locked="0"/>
    </xf>
    <xf numFmtId="1" fontId="12" fillId="0" borderId="25" xfId="4" applyNumberFormat="1" applyFont="1" applyFill="1" applyBorder="1" applyAlignment="1" applyProtection="1">
      <alignment horizontal="center" vertical="top"/>
      <protection locked="0"/>
    </xf>
    <xf numFmtId="179" fontId="12" fillId="0" borderId="25" xfId="4" applyNumberFormat="1" applyFont="1" applyFill="1" applyBorder="1" applyAlignment="1" applyProtection="1">
      <alignment horizontal="center" vertical="top"/>
      <protection locked="0"/>
    </xf>
    <xf numFmtId="14" fontId="12" fillId="0" borderId="25" xfId="4" applyNumberFormat="1" applyFont="1" applyFill="1" applyBorder="1" applyAlignment="1" applyProtection="1">
      <alignment horizontal="left" vertical="top"/>
      <protection locked="0"/>
    </xf>
    <xf numFmtId="10" fontId="12" fillId="0" borderId="25" xfId="6" applyNumberFormat="1" applyFont="1" applyFill="1" applyBorder="1" applyAlignment="1" applyProtection="1">
      <alignment horizontal="right" vertical="top" wrapText="1"/>
      <protection locked="0"/>
    </xf>
    <xf numFmtId="10" fontId="12" fillId="0" borderId="25" xfId="6" applyNumberFormat="1" applyFont="1" applyFill="1" applyBorder="1" applyAlignment="1" applyProtection="1">
      <alignment horizontal="right" vertical="top"/>
      <protection locked="0"/>
    </xf>
    <xf numFmtId="0" fontId="12" fillId="0" borderId="7" xfId="4" applyFont="1" applyFill="1" applyBorder="1" applyAlignment="1" applyProtection="1">
      <alignment horizontal="right" vertical="top"/>
      <protection locked="0"/>
    </xf>
    <xf numFmtId="14" fontId="16" fillId="0" borderId="15" xfId="4" applyNumberFormat="1" applyFont="1" applyBorder="1"/>
    <xf numFmtId="0" fontId="16" fillId="0" borderId="15" xfId="4" applyFont="1" applyBorder="1"/>
    <xf numFmtId="14" fontId="16" fillId="0" borderId="26" xfId="4" applyNumberFormat="1" applyFont="1" applyBorder="1"/>
    <xf numFmtId="0" fontId="16" fillId="0" borderId="26" xfId="4" applyFont="1" applyBorder="1"/>
    <xf numFmtId="0" fontId="16" fillId="7" borderId="3" xfId="4" applyFont="1" applyFill="1" applyBorder="1" applyAlignment="1">
      <alignment horizontal="left" wrapText="1"/>
    </xf>
    <xf numFmtId="0" fontId="16" fillId="0" borderId="0" xfId="4" applyFont="1" applyBorder="1"/>
    <xf numFmtId="10" fontId="16" fillId="0" borderId="15" xfId="6" applyNumberFormat="1" applyFont="1" applyBorder="1" applyAlignment="1"/>
    <xf numFmtId="10" fontId="16" fillId="0" borderId="26" xfId="6" applyNumberFormat="1" applyFont="1" applyBorder="1" applyAlignment="1"/>
    <xf numFmtId="0" fontId="45" fillId="0" borderId="7" xfId="4" applyFont="1" applyFill="1" applyBorder="1" applyAlignment="1" applyProtection="1">
      <alignment horizontal="left" vertical="top"/>
      <protection locked="0"/>
    </xf>
    <xf numFmtId="0" fontId="44" fillId="0" borderId="7" xfId="4" applyFont="1" applyFill="1" applyBorder="1" applyAlignment="1" applyProtection="1">
      <alignment horizontal="left" vertical="top"/>
      <protection locked="0"/>
    </xf>
    <xf numFmtId="0" fontId="46" fillId="0" borderId="7" xfId="4" applyFont="1" applyFill="1" applyBorder="1" applyAlignment="1" applyProtection="1">
      <alignment horizontal="left" vertical="top"/>
      <protection locked="0"/>
    </xf>
    <xf numFmtId="0" fontId="12" fillId="0" borderId="7" xfId="4" applyFont="1" applyFill="1" applyBorder="1" applyAlignment="1" applyProtection="1">
      <alignment horizontal="left" vertical="center"/>
      <protection locked="0"/>
    </xf>
    <xf numFmtId="14" fontId="44" fillId="0" borderId="7" xfId="4" applyNumberFormat="1" applyFont="1" applyFill="1" applyBorder="1" applyAlignment="1" applyProtection="1">
      <alignment horizontal="left" vertical="top"/>
      <protection locked="0"/>
    </xf>
    <xf numFmtId="10" fontId="11" fillId="10" borderId="3" xfId="3" applyNumberFormat="1" applyFont="1" applyFill="1" applyBorder="1" applyAlignment="1" applyProtection="1">
      <alignment horizontal="center" vertical="center" wrapText="1"/>
    </xf>
    <xf numFmtId="14" fontId="11" fillId="10" borderId="2" xfId="4" applyNumberFormat="1" applyFont="1" applyFill="1" applyBorder="1" applyAlignment="1" applyProtection="1">
      <alignment horizontal="center" vertical="center" wrapText="1"/>
    </xf>
    <xf numFmtId="14" fontId="11" fillId="10" borderId="2" xfId="4" applyNumberFormat="1" applyFont="1" applyFill="1" applyBorder="1" applyAlignment="1" applyProtection="1">
      <alignment horizontal="center" vertical="center"/>
    </xf>
    <xf numFmtId="177" fontId="11" fillId="5" borderId="2" xfId="4" applyNumberFormat="1" applyFont="1" applyFill="1" applyBorder="1" applyAlignment="1" applyProtection="1">
      <alignment horizontal="center" vertical="center" wrapText="1"/>
    </xf>
    <xf numFmtId="1" fontId="11" fillId="5" borderId="2" xfId="4" applyNumberFormat="1" applyFont="1" applyFill="1" applyBorder="1" applyAlignment="1" applyProtection="1">
      <alignment horizontal="center" vertical="center" wrapText="1"/>
    </xf>
    <xf numFmtId="176" fontId="11" fillId="10" borderId="2" xfId="4" applyNumberFormat="1" applyFont="1" applyFill="1" applyBorder="1" applyAlignment="1" applyProtection="1">
      <alignment horizontal="center" vertical="center"/>
    </xf>
    <xf numFmtId="10" fontId="11" fillId="5" borderId="2" xfId="3" applyNumberFormat="1" applyFont="1" applyFill="1" applyBorder="1" applyAlignment="1" applyProtection="1">
      <alignment horizontal="center" vertical="center" wrapText="1"/>
    </xf>
    <xf numFmtId="14" fontId="31" fillId="11" borderId="0" xfId="3" applyNumberFormat="1" applyFont="1" applyFill="1" applyBorder="1" applyAlignment="1">
      <alignment horizontal="center" vertical="center" wrapText="1"/>
    </xf>
    <xf numFmtId="0" fontId="11" fillId="10" borderId="2" xfId="4" applyFont="1" applyFill="1" applyBorder="1" applyAlignment="1" applyProtection="1">
      <alignment horizontal="center" vertical="center"/>
    </xf>
    <xf numFmtId="0" fontId="11" fillId="10" borderId="2" xfId="4" applyNumberFormat="1" applyFont="1" applyFill="1" applyBorder="1" applyAlignment="1" applyProtection="1">
      <alignment horizontal="center" vertical="center"/>
    </xf>
    <xf numFmtId="176" fontId="11" fillId="5" borderId="2" xfId="4" applyNumberFormat="1" applyFont="1" applyFill="1" applyBorder="1" applyAlignment="1" applyProtection="1">
      <alignment horizontal="center" vertical="center" wrapText="1"/>
    </xf>
    <xf numFmtId="0" fontId="11" fillId="10" borderId="1" xfId="4" applyFont="1" applyFill="1" applyBorder="1" applyAlignment="1" applyProtection="1">
      <alignment horizontal="center" vertical="center" wrapText="1"/>
    </xf>
    <xf numFmtId="0" fontId="11" fillId="10" borderId="0" xfId="4" applyFont="1" applyFill="1" applyBorder="1" applyAlignment="1" applyProtection="1">
      <alignment horizontal="center" vertical="center" wrapText="1"/>
    </xf>
    <xf numFmtId="0" fontId="11" fillId="10" borderId="24" xfId="4" applyFont="1" applyFill="1" applyBorder="1" applyAlignment="1" applyProtection="1">
      <alignment horizontal="center" vertical="center"/>
    </xf>
    <xf numFmtId="0" fontId="11" fillId="10" borderId="2" xfId="4" applyFont="1" applyFill="1" applyBorder="1" applyAlignment="1" applyProtection="1">
      <alignment horizontal="center" vertical="center" wrapText="1"/>
    </xf>
    <xf numFmtId="0" fontId="11" fillId="5" borderId="2" xfId="4" applyFont="1" applyFill="1" applyBorder="1" applyAlignment="1" applyProtection="1">
      <alignment horizontal="center" vertical="center"/>
    </xf>
    <xf numFmtId="0" fontId="11" fillId="10" borderId="3" xfId="4" applyFont="1" applyFill="1" applyBorder="1" applyAlignment="1" applyProtection="1">
      <alignment horizontal="center" vertical="center"/>
    </xf>
    <xf numFmtId="0" fontId="11" fillId="10" borderId="0" xfId="4" applyFont="1" applyFill="1" applyBorder="1" applyAlignment="1" applyProtection="1">
      <alignment horizontal="center" vertical="center"/>
    </xf>
    <xf numFmtId="0" fontId="11" fillId="10" borderId="1" xfId="4" applyFont="1" applyFill="1" applyBorder="1" applyAlignment="1" applyProtection="1">
      <alignment horizontal="center" vertical="center"/>
    </xf>
    <xf numFmtId="178" fontId="11" fillId="5" borderId="4" xfId="1" applyNumberFormat="1" applyFont="1" applyFill="1" applyBorder="1" applyAlignment="1">
      <alignment horizontal="left" vertical="center"/>
    </xf>
    <xf numFmtId="178" fontId="11" fillId="5" borderId="5" xfId="1" applyNumberFormat="1" applyFont="1" applyFill="1" applyBorder="1" applyAlignment="1">
      <alignment horizontal="left" vertical="center"/>
    </xf>
    <xf numFmtId="0" fontId="7" fillId="11" borderId="0" xfId="2" applyFont="1" applyFill="1" applyBorder="1" applyAlignment="1">
      <alignment horizontal="left" vertical="center"/>
    </xf>
    <xf numFmtId="178" fontId="11" fillId="5" borderId="6" xfId="1" applyNumberFormat="1" applyFont="1" applyFill="1" applyBorder="1" applyAlignment="1">
      <alignment horizontal="left" vertical="center"/>
    </xf>
    <xf numFmtId="0" fontId="17" fillId="0" borderId="0" xfId="4" applyFont="1" applyFill="1" applyBorder="1" applyAlignment="1" applyProtection="1">
      <alignment horizontal="left" vertical="center" wrapText="1"/>
      <protection locked="0"/>
    </xf>
    <xf numFmtId="0" fontId="17" fillId="0" borderId="0" xfId="4" applyFont="1" applyFill="1" applyBorder="1" applyAlignment="1" applyProtection="1">
      <alignment horizontal="left" vertical="center"/>
      <protection locked="0"/>
    </xf>
    <xf numFmtId="0" fontId="14" fillId="0" borderId="0" xfId="1" applyFont="1" applyFill="1" applyBorder="1" applyAlignment="1">
      <alignment horizontal="left" vertical="center"/>
    </xf>
    <xf numFmtId="0" fontId="10" fillId="0" borderId="0" xfId="1" applyFont="1" applyFill="1" applyBorder="1" applyAlignment="1">
      <alignment horizontal="left" vertical="center"/>
    </xf>
    <xf numFmtId="14" fontId="18" fillId="3" borderId="0" xfId="4" applyNumberFormat="1" applyFont="1" applyFill="1" applyBorder="1" applyAlignment="1" applyProtection="1">
      <alignment horizontal="right" vertical="center"/>
    </xf>
    <xf numFmtId="14" fontId="16" fillId="3" borderId="0" xfId="4" applyNumberFormat="1" applyFont="1" applyFill="1" applyBorder="1" applyAlignment="1" applyProtection="1">
      <alignment horizontal="left" vertical="top" wrapText="1"/>
    </xf>
    <xf numFmtId="14" fontId="21" fillId="8" borderId="19" xfId="4" applyNumberFormat="1" applyFont="1" applyFill="1" applyBorder="1" applyAlignment="1" applyProtection="1">
      <alignment horizontal="center" vertical="center"/>
      <protection locked="0"/>
    </xf>
    <xf numFmtId="0" fontId="46" fillId="0" borderId="7" xfId="4" applyFont="1" applyFill="1" applyBorder="1" applyAlignment="1" applyProtection="1">
      <alignment horizontal="left" vertical="center"/>
      <protection locked="0"/>
    </xf>
  </cellXfs>
  <cellStyles count="7">
    <cellStyle name="강조색5 2" xfId="1" xr:uid="{00000000-0005-0000-0000-000000000000}"/>
    <cellStyle name="백분율" xfId="6" builtinId="5"/>
    <cellStyle name="백분율 2" xfId="3" xr:uid="{00000000-0005-0000-0000-000002000000}"/>
    <cellStyle name="표준" xfId="0" builtinId="0"/>
    <cellStyle name="표준 2" xfId="4" xr:uid="{00000000-0005-0000-0000-000004000000}"/>
    <cellStyle name="표준 2 2" xfId="5" xr:uid="{00000000-0005-0000-0000-000005000000}"/>
    <cellStyle name="하이퍼링크" xfId="2" builtinId="8"/>
  </cellStyles>
  <dxfs count="9">
    <dxf>
      <font>
        <color theme="0" tint="-0.34998626667073579"/>
      </font>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ill>
        <patternFill>
          <bgColor rgb="FFFFC000"/>
        </patternFill>
      </fill>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color theme="0" tint="-0.34998626667073579"/>
      </font>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color theme="0" tint="-0.34998626667073579"/>
      </font>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color theme="0" tint="-0.34998626667073579"/>
      </font>
    </dxf>
  </dxfs>
  <tableStyles count="0" defaultTableStyle="TableStyleMedium2" defaultPivotStyle="PivotStyleLight16"/>
  <colors>
    <mruColors>
      <color rgb="FFFF8800"/>
      <color rgb="FFFF6600"/>
      <color rgb="FFFF9933"/>
      <color rgb="FFFF3300"/>
      <color rgb="FFE2ECFF"/>
      <color rgb="FF3399FF"/>
      <color rgb="FFF2F2FF"/>
      <color rgb="FFF3FFF9"/>
      <color rgb="FFE5FFF2"/>
      <color rgb="FFD9FFE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ndard"/>
        <c:varyColors val="0"/>
        <c:ser>
          <c:idx val="0"/>
          <c:order val="0"/>
          <c:tx>
            <c:strRef>
              <c:f>AnalysisReport!$F$6</c:f>
              <c:strCache>
                <c:ptCount val="1"/>
                <c:pt idx="0">
                  <c:v>진척율</c:v>
                </c:pt>
              </c:strCache>
            </c:strRef>
          </c:tx>
          <c:cat>
            <c:numRef>
              <c:f>AnalysisReport!$C$7:$C$28</c:f>
              <c:numCache>
                <c:formatCode>m/d/yyyy</c:formatCode>
                <c:ptCount val="22"/>
                <c:pt idx="0">
                  <c:v>43379</c:v>
                </c:pt>
                <c:pt idx="1">
                  <c:v>43386</c:v>
                </c:pt>
                <c:pt idx="2">
                  <c:v>43393</c:v>
                </c:pt>
                <c:pt idx="3">
                  <c:v>43400</c:v>
                </c:pt>
                <c:pt idx="4">
                  <c:v>43407</c:v>
                </c:pt>
                <c:pt idx="5">
                  <c:v>43414</c:v>
                </c:pt>
                <c:pt idx="6">
                  <c:v>43421</c:v>
                </c:pt>
                <c:pt idx="7">
                  <c:v>43428</c:v>
                </c:pt>
                <c:pt idx="8">
                  <c:v>43435</c:v>
                </c:pt>
                <c:pt idx="9">
                  <c:v>43442</c:v>
                </c:pt>
                <c:pt idx="10">
                  <c:v>43449</c:v>
                </c:pt>
                <c:pt idx="11">
                  <c:v>43456</c:v>
                </c:pt>
                <c:pt idx="12">
                  <c:v>43463</c:v>
                </c:pt>
                <c:pt idx="13">
                  <c:v>43470</c:v>
                </c:pt>
                <c:pt idx="14">
                  <c:v>43477</c:v>
                </c:pt>
                <c:pt idx="15">
                  <c:v>43484</c:v>
                </c:pt>
                <c:pt idx="16">
                  <c:v>43491</c:v>
                </c:pt>
                <c:pt idx="17">
                  <c:v>43498</c:v>
                </c:pt>
                <c:pt idx="18">
                  <c:v>43505</c:v>
                </c:pt>
                <c:pt idx="19">
                  <c:v>43512</c:v>
                </c:pt>
                <c:pt idx="20">
                  <c:v>43519</c:v>
                </c:pt>
                <c:pt idx="21">
                  <c:v>43526</c:v>
                </c:pt>
              </c:numCache>
            </c:numRef>
          </c:cat>
          <c:val>
            <c:numRef>
              <c:f>AnalysisReport!$F$7:$F$28</c:f>
              <c:numCache>
                <c:formatCode>0.00%</c:formatCode>
                <c:ptCount val="22"/>
                <c:pt idx="0">
                  <c:v>3.8022813688212928E-3</c:v>
                </c:pt>
                <c:pt idx="1">
                  <c:v>4.1825095057034217E-2</c:v>
                </c:pt>
                <c:pt idx="2">
                  <c:v>9.8859315589353611E-2</c:v>
                </c:pt>
                <c:pt idx="3">
                  <c:v>0.13688212927756654</c:v>
                </c:pt>
                <c:pt idx="4">
                  <c:v>0.17110266159695817</c:v>
                </c:pt>
                <c:pt idx="5">
                  <c:v>0.21673003802281368</c:v>
                </c:pt>
                <c:pt idx="6">
                  <c:v>0.26996197718631176</c:v>
                </c:pt>
                <c:pt idx="7">
                  <c:v>0.29657794676806082</c:v>
                </c:pt>
                <c:pt idx="8">
                  <c:v>0.3269961977186312</c:v>
                </c:pt>
                <c:pt idx="9">
                  <c:v>0.39543726235741444</c:v>
                </c:pt>
                <c:pt idx="10">
                  <c:v>0.46387832699619774</c:v>
                </c:pt>
                <c:pt idx="11">
                  <c:v>0.52851711026615966</c:v>
                </c:pt>
                <c:pt idx="12">
                  <c:v>0.57414448669201523</c:v>
                </c:pt>
                <c:pt idx="13">
                  <c:v>0.62737642585551334</c:v>
                </c:pt>
                <c:pt idx="14">
                  <c:v>0.70722433460076051</c:v>
                </c:pt>
                <c:pt idx="15">
                  <c:v>0.80228136882129275</c:v>
                </c:pt>
                <c:pt idx="16">
                  <c:v>0.89733840304182511</c:v>
                </c:pt>
                <c:pt idx="17">
                  <c:v>0.92775665399239549</c:v>
                </c:pt>
                <c:pt idx="18">
                  <c:v>0.95057034220532322</c:v>
                </c:pt>
                <c:pt idx="19">
                  <c:v>0.96577946768060841</c:v>
                </c:pt>
                <c:pt idx="20">
                  <c:v>0.98479087452471481</c:v>
                </c:pt>
                <c:pt idx="21">
                  <c:v>1</c:v>
                </c:pt>
              </c:numCache>
            </c:numRef>
          </c:val>
          <c:smooth val="0"/>
          <c:extLst>
            <c:ext xmlns:c16="http://schemas.microsoft.com/office/drawing/2014/chart" uri="{C3380CC4-5D6E-409C-BE32-E72D297353CC}">
              <c16:uniqueId val="{00000000-7918-43DD-AF59-9E2479E93B59}"/>
            </c:ext>
          </c:extLst>
        </c:ser>
        <c:dLbls>
          <c:showLegendKey val="0"/>
          <c:showVal val="0"/>
          <c:showCatName val="0"/>
          <c:showSerName val="0"/>
          <c:showPercent val="0"/>
          <c:showBubbleSize val="0"/>
        </c:dLbls>
        <c:marker val="1"/>
        <c:smooth val="0"/>
        <c:axId val="876246976"/>
        <c:axId val="876250240"/>
      </c:lineChart>
      <c:dateAx>
        <c:axId val="876246976"/>
        <c:scaling>
          <c:orientation val="minMax"/>
        </c:scaling>
        <c:delete val="0"/>
        <c:axPos val="b"/>
        <c:numFmt formatCode="m/d/yyyy" sourceLinked="1"/>
        <c:majorTickMark val="out"/>
        <c:minorTickMark val="none"/>
        <c:tickLblPos val="nextTo"/>
        <c:txPr>
          <a:bodyPr rot="-2700000" vert="horz"/>
          <a:lstStyle/>
          <a:p>
            <a:pPr>
              <a:defRPr/>
            </a:pPr>
            <a:endParaRPr lang="ko-KR"/>
          </a:p>
        </c:txPr>
        <c:crossAx val="876250240"/>
        <c:crosses val="autoZero"/>
        <c:auto val="1"/>
        <c:lblOffset val="100"/>
        <c:baseTimeUnit val="days"/>
      </c:dateAx>
      <c:valAx>
        <c:axId val="876250240"/>
        <c:scaling>
          <c:orientation val="minMax"/>
        </c:scaling>
        <c:delete val="0"/>
        <c:axPos val="l"/>
        <c:majorGridlines/>
        <c:numFmt formatCode="0.00%" sourceLinked="1"/>
        <c:majorTickMark val="out"/>
        <c:minorTickMark val="none"/>
        <c:tickLblPos val="nextTo"/>
        <c:crossAx val="876246976"/>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44</xdr:col>
      <xdr:colOff>0</xdr:colOff>
      <xdr:row>3</xdr:row>
      <xdr:rowOff>55880</xdr:rowOff>
    </xdr:from>
    <xdr:to>
      <xdr:col>44</xdr:col>
      <xdr:colOff>0</xdr:colOff>
      <xdr:row>41</xdr:row>
      <xdr:rowOff>0</xdr:rowOff>
    </xdr:to>
    <xdr:cxnSp macro="">
      <xdr:nvCxnSpPr>
        <xdr:cNvPr id="24398" name="직선 화살표 연결선 24397">
          <a:extLst>
            <a:ext uri="{FF2B5EF4-FFF2-40B4-BE49-F238E27FC236}">
              <a16:creationId xmlns:a16="http://schemas.microsoft.com/office/drawing/2014/main" id="{73E9810C-6D3E-4D0E-979B-B71C80E3F22D}"/>
            </a:ext>
          </a:extLst>
        </xdr:cNvPr>
        <xdr:cNvCxnSpPr/>
      </xdr:nvCxnSpPr>
      <xdr:spPr>
        <a:xfrm>
          <a:off x="20745450" y="741680"/>
          <a:ext cx="0" cy="5640070"/>
        </a:xfrm>
        <a:prstGeom prst="straightConnector1">
          <a:avLst/>
        </a:prstGeom>
        <a:ln w="6350">
          <a:solidFill>
            <a:srgbClr val="BFBFBF"/>
          </a:solidFill>
          <a:headEnd type="none"/>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0</xdr:colOff>
      <xdr:row>3</xdr:row>
      <xdr:rowOff>55880</xdr:rowOff>
    </xdr:from>
    <xdr:to>
      <xdr:col>39</xdr:col>
      <xdr:colOff>0</xdr:colOff>
      <xdr:row>41</xdr:row>
      <xdr:rowOff>0</xdr:rowOff>
    </xdr:to>
    <xdr:cxnSp macro="">
      <xdr:nvCxnSpPr>
        <xdr:cNvPr id="24399" name="직선 화살표 연결선 24398">
          <a:extLst>
            <a:ext uri="{FF2B5EF4-FFF2-40B4-BE49-F238E27FC236}">
              <a16:creationId xmlns:a16="http://schemas.microsoft.com/office/drawing/2014/main" id="{B95005BC-FA8D-4FF1-B758-370D5FC34E4C}"/>
            </a:ext>
          </a:extLst>
        </xdr:cNvPr>
        <xdr:cNvCxnSpPr/>
      </xdr:nvCxnSpPr>
      <xdr:spPr>
        <a:xfrm>
          <a:off x="10125075" y="741680"/>
          <a:ext cx="0" cy="5640070"/>
        </a:xfrm>
        <a:prstGeom prst="straightConnector1">
          <a:avLst/>
        </a:prstGeom>
        <a:ln w="6350">
          <a:solidFill>
            <a:srgbClr val="FF0000"/>
          </a:solidFill>
          <a:headEnd type="none"/>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0</xdr:colOff>
      <xdr:row>40</xdr:row>
      <xdr:rowOff>19050</xdr:rowOff>
    </xdr:from>
    <xdr:to>
      <xdr:col>42</xdr:col>
      <xdr:colOff>0</xdr:colOff>
      <xdr:row>40</xdr:row>
      <xdr:rowOff>133350</xdr:rowOff>
    </xdr:to>
    <xdr:sp macro="" textlink="">
      <xdr:nvSpPr>
        <xdr:cNvPr id="24400" name="직사각형 24399">
          <a:extLst>
            <a:ext uri="{FF2B5EF4-FFF2-40B4-BE49-F238E27FC236}">
              <a16:creationId xmlns:a16="http://schemas.microsoft.com/office/drawing/2014/main" id="{6A995C14-9AB8-47B3-ADD9-3A325DCA8D0D}"/>
            </a:ext>
          </a:extLst>
        </xdr:cNvPr>
        <xdr:cNvSpPr/>
      </xdr:nvSpPr>
      <xdr:spPr>
        <a:xfrm>
          <a:off x="10125075" y="6248400"/>
          <a:ext cx="42862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39</xdr:col>
      <xdr:colOff>0</xdr:colOff>
      <xdr:row>40</xdr:row>
      <xdr:rowOff>76200</xdr:rowOff>
    </xdr:from>
    <xdr:to>
      <xdr:col>39</xdr:col>
      <xdr:colOff>0</xdr:colOff>
      <xdr:row>40</xdr:row>
      <xdr:rowOff>76200</xdr:rowOff>
    </xdr:to>
    <xdr:cxnSp macro="">
      <xdr:nvCxnSpPr>
        <xdr:cNvPr id="24401" name="직선 화살표 연결선 24400">
          <a:extLst>
            <a:ext uri="{FF2B5EF4-FFF2-40B4-BE49-F238E27FC236}">
              <a16:creationId xmlns:a16="http://schemas.microsoft.com/office/drawing/2014/main" id="{0185DF82-266A-4B94-8807-403C5955006F}"/>
            </a:ext>
          </a:extLst>
        </xdr:cNvPr>
        <xdr:cNvCxnSpPr/>
      </xdr:nvCxnSpPr>
      <xdr:spPr>
        <a:xfrm>
          <a:off x="10125075" y="63055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122465</xdr:colOff>
      <xdr:row>39</xdr:row>
      <xdr:rowOff>19050</xdr:rowOff>
    </xdr:from>
    <xdr:to>
      <xdr:col>38</xdr:col>
      <xdr:colOff>122465</xdr:colOff>
      <xdr:row>39</xdr:row>
      <xdr:rowOff>133350</xdr:rowOff>
    </xdr:to>
    <xdr:sp macro="" textlink="">
      <xdr:nvSpPr>
        <xdr:cNvPr id="24402" name="직사각형 24401">
          <a:extLst>
            <a:ext uri="{FF2B5EF4-FFF2-40B4-BE49-F238E27FC236}">
              <a16:creationId xmlns:a16="http://schemas.microsoft.com/office/drawing/2014/main" id="{5EAE7D41-81AC-4276-97E8-31F16C346CF0}"/>
            </a:ext>
          </a:extLst>
        </xdr:cNvPr>
        <xdr:cNvSpPr/>
      </xdr:nvSpPr>
      <xdr:spPr>
        <a:xfrm>
          <a:off x="9961790" y="6096000"/>
          <a:ext cx="14287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37</xdr:col>
      <xdr:colOff>122465</xdr:colOff>
      <xdr:row>39</xdr:row>
      <xdr:rowOff>76200</xdr:rowOff>
    </xdr:from>
    <xdr:to>
      <xdr:col>38</xdr:col>
      <xdr:colOff>122465</xdr:colOff>
      <xdr:row>39</xdr:row>
      <xdr:rowOff>76200</xdr:rowOff>
    </xdr:to>
    <xdr:cxnSp macro="">
      <xdr:nvCxnSpPr>
        <xdr:cNvPr id="24403" name="직선 화살표 연결선 24402">
          <a:extLst>
            <a:ext uri="{FF2B5EF4-FFF2-40B4-BE49-F238E27FC236}">
              <a16:creationId xmlns:a16="http://schemas.microsoft.com/office/drawing/2014/main" id="{A6A5EE79-6B7F-49C6-97BD-2387EB3AEF96}"/>
            </a:ext>
          </a:extLst>
        </xdr:cNvPr>
        <xdr:cNvCxnSpPr/>
      </xdr:nvCxnSpPr>
      <xdr:spPr>
        <a:xfrm>
          <a:off x="9961790" y="6153150"/>
          <a:ext cx="142875"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122465</xdr:colOff>
      <xdr:row>38</xdr:row>
      <xdr:rowOff>19050</xdr:rowOff>
    </xdr:from>
    <xdr:to>
      <xdr:col>42</xdr:col>
      <xdr:colOff>0</xdr:colOff>
      <xdr:row>38</xdr:row>
      <xdr:rowOff>133350</xdr:rowOff>
    </xdr:to>
    <xdr:sp macro="" textlink="">
      <xdr:nvSpPr>
        <xdr:cNvPr id="24404" name="직사각형 24403">
          <a:extLst>
            <a:ext uri="{FF2B5EF4-FFF2-40B4-BE49-F238E27FC236}">
              <a16:creationId xmlns:a16="http://schemas.microsoft.com/office/drawing/2014/main" id="{D6013150-D3E1-46DE-8FC7-5A4B2D44591F}"/>
            </a:ext>
          </a:extLst>
        </xdr:cNvPr>
        <xdr:cNvSpPr/>
      </xdr:nvSpPr>
      <xdr:spPr>
        <a:xfrm>
          <a:off x="9961790" y="5943600"/>
          <a:ext cx="59191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37</xdr:col>
      <xdr:colOff>122465</xdr:colOff>
      <xdr:row>38</xdr:row>
      <xdr:rowOff>76200</xdr:rowOff>
    </xdr:from>
    <xdr:to>
      <xdr:col>38</xdr:col>
      <xdr:colOff>127567</xdr:colOff>
      <xdr:row>38</xdr:row>
      <xdr:rowOff>76200</xdr:rowOff>
    </xdr:to>
    <xdr:cxnSp macro="">
      <xdr:nvCxnSpPr>
        <xdr:cNvPr id="24405" name="직선 화살표 연결선 24404">
          <a:extLst>
            <a:ext uri="{FF2B5EF4-FFF2-40B4-BE49-F238E27FC236}">
              <a16:creationId xmlns:a16="http://schemas.microsoft.com/office/drawing/2014/main" id="{562B9889-01E8-4BFC-83ED-F1198B650DE7}"/>
            </a:ext>
          </a:extLst>
        </xdr:cNvPr>
        <xdr:cNvCxnSpPr/>
      </xdr:nvCxnSpPr>
      <xdr:spPr>
        <a:xfrm>
          <a:off x="9961790" y="6000750"/>
          <a:ext cx="147977"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38</xdr:col>
      <xdr:colOff>122465</xdr:colOff>
      <xdr:row>37</xdr:row>
      <xdr:rowOff>19050</xdr:rowOff>
    </xdr:from>
    <xdr:to>
      <xdr:col>40</xdr:col>
      <xdr:colOff>0</xdr:colOff>
      <xdr:row>37</xdr:row>
      <xdr:rowOff>133350</xdr:rowOff>
    </xdr:to>
    <xdr:sp macro="" textlink="">
      <xdr:nvSpPr>
        <xdr:cNvPr id="24406" name="직사각형 24405">
          <a:extLst>
            <a:ext uri="{FF2B5EF4-FFF2-40B4-BE49-F238E27FC236}">
              <a16:creationId xmlns:a16="http://schemas.microsoft.com/office/drawing/2014/main" id="{D97AAEB8-655F-41A8-A0C8-2C08373EB81F}"/>
            </a:ext>
          </a:extLst>
        </xdr:cNvPr>
        <xdr:cNvSpPr/>
      </xdr:nvSpPr>
      <xdr:spPr>
        <a:xfrm>
          <a:off x="10104665" y="5791200"/>
          <a:ext cx="16328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38</xdr:col>
      <xdr:colOff>122465</xdr:colOff>
      <xdr:row>37</xdr:row>
      <xdr:rowOff>76200</xdr:rowOff>
    </xdr:from>
    <xdr:to>
      <xdr:col>38</xdr:col>
      <xdr:colOff>122465</xdr:colOff>
      <xdr:row>37</xdr:row>
      <xdr:rowOff>76200</xdr:rowOff>
    </xdr:to>
    <xdr:cxnSp macro="">
      <xdr:nvCxnSpPr>
        <xdr:cNvPr id="24407" name="직선 화살표 연결선 24406">
          <a:extLst>
            <a:ext uri="{FF2B5EF4-FFF2-40B4-BE49-F238E27FC236}">
              <a16:creationId xmlns:a16="http://schemas.microsoft.com/office/drawing/2014/main" id="{73299E62-29E2-4799-87AC-4DFE4CD195EE}"/>
            </a:ext>
          </a:extLst>
        </xdr:cNvPr>
        <xdr:cNvCxnSpPr/>
      </xdr:nvCxnSpPr>
      <xdr:spPr>
        <a:xfrm>
          <a:off x="10104665" y="58483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122465</xdr:colOff>
      <xdr:row>36</xdr:row>
      <xdr:rowOff>19050</xdr:rowOff>
    </xdr:from>
    <xdr:to>
      <xdr:col>40</xdr:col>
      <xdr:colOff>0</xdr:colOff>
      <xdr:row>36</xdr:row>
      <xdr:rowOff>133350</xdr:rowOff>
    </xdr:to>
    <xdr:sp macro="" textlink="">
      <xdr:nvSpPr>
        <xdr:cNvPr id="24408" name="직사각형 24407">
          <a:extLst>
            <a:ext uri="{FF2B5EF4-FFF2-40B4-BE49-F238E27FC236}">
              <a16:creationId xmlns:a16="http://schemas.microsoft.com/office/drawing/2014/main" id="{D480C828-DE3D-44C5-9E03-5F6580D60C61}"/>
            </a:ext>
          </a:extLst>
        </xdr:cNvPr>
        <xdr:cNvSpPr/>
      </xdr:nvSpPr>
      <xdr:spPr>
        <a:xfrm>
          <a:off x="9390290" y="5638800"/>
          <a:ext cx="87766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122465</xdr:colOff>
      <xdr:row>36</xdr:row>
      <xdr:rowOff>76200</xdr:rowOff>
    </xdr:from>
    <xdr:to>
      <xdr:col>40</xdr:col>
      <xdr:colOff>0</xdr:colOff>
      <xdr:row>36</xdr:row>
      <xdr:rowOff>76200</xdr:rowOff>
    </xdr:to>
    <xdr:cxnSp macro="">
      <xdr:nvCxnSpPr>
        <xdr:cNvPr id="24409" name="직선 화살표 연결선 24408">
          <a:extLst>
            <a:ext uri="{FF2B5EF4-FFF2-40B4-BE49-F238E27FC236}">
              <a16:creationId xmlns:a16="http://schemas.microsoft.com/office/drawing/2014/main" id="{C5ACCF7E-47A0-4091-BE59-BE600ADCC003}"/>
            </a:ext>
          </a:extLst>
        </xdr:cNvPr>
        <xdr:cNvCxnSpPr/>
      </xdr:nvCxnSpPr>
      <xdr:spPr>
        <a:xfrm>
          <a:off x="9390290" y="5695950"/>
          <a:ext cx="87766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122465</xdr:colOff>
      <xdr:row>35</xdr:row>
      <xdr:rowOff>19050</xdr:rowOff>
    </xdr:from>
    <xdr:to>
      <xdr:col>40</xdr:col>
      <xdr:colOff>0</xdr:colOff>
      <xdr:row>35</xdr:row>
      <xdr:rowOff>133350</xdr:rowOff>
    </xdr:to>
    <xdr:sp macro="" textlink="">
      <xdr:nvSpPr>
        <xdr:cNvPr id="24410" name="직사각형 24409">
          <a:extLst>
            <a:ext uri="{FF2B5EF4-FFF2-40B4-BE49-F238E27FC236}">
              <a16:creationId xmlns:a16="http://schemas.microsoft.com/office/drawing/2014/main" id="{EA96E49D-3A7E-4C6D-8366-84B71E4A6ACE}"/>
            </a:ext>
          </a:extLst>
        </xdr:cNvPr>
        <xdr:cNvSpPr/>
      </xdr:nvSpPr>
      <xdr:spPr>
        <a:xfrm>
          <a:off x="9390290" y="5486400"/>
          <a:ext cx="87766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122465</xdr:colOff>
      <xdr:row>35</xdr:row>
      <xdr:rowOff>76200</xdr:rowOff>
    </xdr:from>
    <xdr:to>
      <xdr:col>40</xdr:col>
      <xdr:colOff>0</xdr:colOff>
      <xdr:row>35</xdr:row>
      <xdr:rowOff>76200</xdr:rowOff>
    </xdr:to>
    <xdr:cxnSp macro="">
      <xdr:nvCxnSpPr>
        <xdr:cNvPr id="24411" name="직선 화살표 연결선 24410">
          <a:extLst>
            <a:ext uri="{FF2B5EF4-FFF2-40B4-BE49-F238E27FC236}">
              <a16:creationId xmlns:a16="http://schemas.microsoft.com/office/drawing/2014/main" id="{849B1875-D593-4A41-8655-78B82780C9B7}"/>
            </a:ext>
          </a:extLst>
        </xdr:cNvPr>
        <xdr:cNvCxnSpPr/>
      </xdr:nvCxnSpPr>
      <xdr:spPr>
        <a:xfrm>
          <a:off x="9390290" y="5543550"/>
          <a:ext cx="87766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122465</xdr:colOff>
      <xdr:row>34</xdr:row>
      <xdr:rowOff>19050</xdr:rowOff>
    </xdr:from>
    <xdr:to>
      <xdr:col>40</xdr:col>
      <xdr:colOff>0</xdr:colOff>
      <xdr:row>34</xdr:row>
      <xdr:rowOff>133350</xdr:rowOff>
    </xdr:to>
    <xdr:sp macro="" textlink="">
      <xdr:nvSpPr>
        <xdr:cNvPr id="24412" name="직사각형 24411">
          <a:extLst>
            <a:ext uri="{FF2B5EF4-FFF2-40B4-BE49-F238E27FC236}">
              <a16:creationId xmlns:a16="http://schemas.microsoft.com/office/drawing/2014/main" id="{B5B5E3E4-AE48-495F-95C0-FC6448B8972C}"/>
            </a:ext>
          </a:extLst>
        </xdr:cNvPr>
        <xdr:cNvSpPr/>
      </xdr:nvSpPr>
      <xdr:spPr>
        <a:xfrm>
          <a:off x="9390290" y="5334000"/>
          <a:ext cx="87766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122465</xdr:colOff>
      <xdr:row>34</xdr:row>
      <xdr:rowOff>76200</xdr:rowOff>
    </xdr:from>
    <xdr:to>
      <xdr:col>40</xdr:col>
      <xdr:colOff>0</xdr:colOff>
      <xdr:row>34</xdr:row>
      <xdr:rowOff>76200</xdr:rowOff>
    </xdr:to>
    <xdr:cxnSp macro="">
      <xdr:nvCxnSpPr>
        <xdr:cNvPr id="24413" name="직선 화살표 연결선 24412">
          <a:extLst>
            <a:ext uri="{FF2B5EF4-FFF2-40B4-BE49-F238E27FC236}">
              <a16:creationId xmlns:a16="http://schemas.microsoft.com/office/drawing/2014/main" id="{9EB3A9BB-2800-48F7-9836-54E471715833}"/>
            </a:ext>
          </a:extLst>
        </xdr:cNvPr>
        <xdr:cNvCxnSpPr/>
      </xdr:nvCxnSpPr>
      <xdr:spPr>
        <a:xfrm>
          <a:off x="9390290" y="5391150"/>
          <a:ext cx="87766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122465</xdr:colOff>
      <xdr:row>33</xdr:row>
      <xdr:rowOff>19050</xdr:rowOff>
    </xdr:from>
    <xdr:to>
      <xdr:col>40</xdr:col>
      <xdr:colOff>0</xdr:colOff>
      <xdr:row>33</xdr:row>
      <xdr:rowOff>133350</xdr:rowOff>
    </xdr:to>
    <xdr:sp macro="" textlink="">
      <xdr:nvSpPr>
        <xdr:cNvPr id="24414" name="직사각형 24413">
          <a:extLst>
            <a:ext uri="{FF2B5EF4-FFF2-40B4-BE49-F238E27FC236}">
              <a16:creationId xmlns:a16="http://schemas.microsoft.com/office/drawing/2014/main" id="{994B6CF7-F9D2-488C-B658-BF26C797CE99}"/>
            </a:ext>
          </a:extLst>
        </xdr:cNvPr>
        <xdr:cNvSpPr/>
      </xdr:nvSpPr>
      <xdr:spPr>
        <a:xfrm>
          <a:off x="9390290" y="5181600"/>
          <a:ext cx="87766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122465</xdr:colOff>
      <xdr:row>33</xdr:row>
      <xdr:rowOff>76200</xdr:rowOff>
    </xdr:from>
    <xdr:to>
      <xdr:col>40</xdr:col>
      <xdr:colOff>0</xdr:colOff>
      <xdr:row>33</xdr:row>
      <xdr:rowOff>76200</xdr:rowOff>
    </xdr:to>
    <xdr:cxnSp macro="">
      <xdr:nvCxnSpPr>
        <xdr:cNvPr id="24415" name="직선 화살표 연결선 24414">
          <a:extLst>
            <a:ext uri="{FF2B5EF4-FFF2-40B4-BE49-F238E27FC236}">
              <a16:creationId xmlns:a16="http://schemas.microsoft.com/office/drawing/2014/main" id="{1C2BFC9A-57DC-4603-9F21-0D453A3F3996}"/>
            </a:ext>
          </a:extLst>
        </xdr:cNvPr>
        <xdr:cNvCxnSpPr/>
      </xdr:nvCxnSpPr>
      <xdr:spPr>
        <a:xfrm>
          <a:off x="9390290" y="5238750"/>
          <a:ext cx="87766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122465</xdr:colOff>
      <xdr:row>32</xdr:row>
      <xdr:rowOff>19050</xdr:rowOff>
    </xdr:from>
    <xdr:to>
      <xdr:col>40</xdr:col>
      <xdr:colOff>0</xdr:colOff>
      <xdr:row>32</xdr:row>
      <xdr:rowOff>133350</xdr:rowOff>
    </xdr:to>
    <xdr:sp macro="" textlink="">
      <xdr:nvSpPr>
        <xdr:cNvPr id="24416" name="직사각형 24415">
          <a:extLst>
            <a:ext uri="{FF2B5EF4-FFF2-40B4-BE49-F238E27FC236}">
              <a16:creationId xmlns:a16="http://schemas.microsoft.com/office/drawing/2014/main" id="{6CD7D65E-CDAA-4048-BCEB-9848238634D0}"/>
            </a:ext>
          </a:extLst>
        </xdr:cNvPr>
        <xdr:cNvSpPr/>
      </xdr:nvSpPr>
      <xdr:spPr>
        <a:xfrm>
          <a:off x="9390290" y="5029200"/>
          <a:ext cx="87766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122465</xdr:colOff>
      <xdr:row>32</xdr:row>
      <xdr:rowOff>76200</xdr:rowOff>
    </xdr:from>
    <xdr:to>
      <xdr:col>40</xdr:col>
      <xdr:colOff>0</xdr:colOff>
      <xdr:row>32</xdr:row>
      <xdr:rowOff>76200</xdr:rowOff>
    </xdr:to>
    <xdr:cxnSp macro="">
      <xdr:nvCxnSpPr>
        <xdr:cNvPr id="24417" name="직선 화살표 연결선 24416">
          <a:extLst>
            <a:ext uri="{FF2B5EF4-FFF2-40B4-BE49-F238E27FC236}">
              <a16:creationId xmlns:a16="http://schemas.microsoft.com/office/drawing/2014/main" id="{17926FBF-CCD2-4076-9AE7-844CCFD70D10}"/>
            </a:ext>
          </a:extLst>
        </xdr:cNvPr>
        <xdr:cNvCxnSpPr/>
      </xdr:nvCxnSpPr>
      <xdr:spPr>
        <a:xfrm>
          <a:off x="9390290" y="5086350"/>
          <a:ext cx="87766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122465</xdr:colOff>
      <xdr:row>31</xdr:row>
      <xdr:rowOff>19050</xdr:rowOff>
    </xdr:from>
    <xdr:to>
      <xdr:col>40</xdr:col>
      <xdr:colOff>0</xdr:colOff>
      <xdr:row>31</xdr:row>
      <xdr:rowOff>133350</xdr:rowOff>
    </xdr:to>
    <xdr:sp macro="" textlink="">
      <xdr:nvSpPr>
        <xdr:cNvPr id="24418" name="직사각형 24417">
          <a:extLst>
            <a:ext uri="{FF2B5EF4-FFF2-40B4-BE49-F238E27FC236}">
              <a16:creationId xmlns:a16="http://schemas.microsoft.com/office/drawing/2014/main" id="{69D19702-7A62-444D-AD74-700849119AA2}"/>
            </a:ext>
          </a:extLst>
        </xdr:cNvPr>
        <xdr:cNvSpPr/>
      </xdr:nvSpPr>
      <xdr:spPr>
        <a:xfrm>
          <a:off x="9390290" y="4876800"/>
          <a:ext cx="87766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122465</xdr:colOff>
      <xdr:row>31</xdr:row>
      <xdr:rowOff>76200</xdr:rowOff>
    </xdr:from>
    <xdr:to>
      <xdr:col>39</xdr:col>
      <xdr:colOff>103868</xdr:colOff>
      <xdr:row>31</xdr:row>
      <xdr:rowOff>76200</xdr:rowOff>
    </xdr:to>
    <xdr:cxnSp macro="">
      <xdr:nvCxnSpPr>
        <xdr:cNvPr id="24419" name="직선 화살표 연결선 24418">
          <a:extLst>
            <a:ext uri="{FF2B5EF4-FFF2-40B4-BE49-F238E27FC236}">
              <a16:creationId xmlns:a16="http://schemas.microsoft.com/office/drawing/2014/main" id="{1FC24846-D9EC-43D5-9B3A-130D8D928F2F}"/>
            </a:ext>
          </a:extLst>
        </xdr:cNvPr>
        <xdr:cNvCxnSpPr/>
      </xdr:nvCxnSpPr>
      <xdr:spPr>
        <a:xfrm>
          <a:off x="9390290" y="4933950"/>
          <a:ext cx="83865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122465</xdr:colOff>
      <xdr:row>30</xdr:row>
      <xdr:rowOff>19050</xdr:rowOff>
    </xdr:from>
    <xdr:to>
      <xdr:col>40</xdr:col>
      <xdr:colOff>0</xdr:colOff>
      <xdr:row>30</xdr:row>
      <xdr:rowOff>133350</xdr:rowOff>
    </xdr:to>
    <xdr:sp macro="" textlink="">
      <xdr:nvSpPr>
        <xdr:cNvPr id="24420" name="직사각형 24419">
          <a:extLst>
            <a:ext uri="{FF2B5EF4-FFF2-40B4-BE49-F238E27FC236}">
              <a16:creationId xmlns:a16="http://schemas.microsoft.com/office/drawing/2014/main" id="{67C073AD-F241-482A-980D-7DBCD62D17B6}"/>
            </a:ext>
          </a:extLst>
        </xdr:cNvPr>
        <xdr:cNvSpPr/>
      </xdr:nvSpPr>
      <xdr:spPr>
        <a:xfrm>
          <a:off x="9390290" y="4724400"/>
          <a:ext cx="87766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122465</xdr:colOff>
      <xdr:row>30</xdr:row>
      <xdr:rowOff>76200</xdr:rowOff>
    </xdr:from>
    <xdr:to>
      <xdr:col>40</xdr:col>
      <xdr:colOff>0</xdr:colOff>
      <xdr:row>30</xdr:row>
      <xdr:rowOff>76200</xdr:rowOff>
    </xdr:to>
    <xdr:cxnSp macro="">
      <xdr:nvCxnSpPr>
        <xdr:cNvPr id="24421" name="직선 화살표 연결선 24420">
          <a:extLst>
            <a:ext uri="{FF2B5EF4-FFF2-40B4-BE49-F238E27FC236}">
              <a16:creationId xmlns:a16="http://schemas.microsoft.com/office/drawing/2014/main" id="{C27E1D44-5645-4C4D-BBEE-032136993E60}"/>
            </a:ext>
          </a:extLst>
        </xdr:cNvPr>
        <xdr:cNvCxnSpPr/>
      </xdr:nvCxnSpPr>
      <xdr:spPr>
        <a:xfrm>
          <a:off x="9390290" y="4781550"/>
          <a:ext cx="87766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122465</xdr:colOff>
      <xdr:row>29</xdr:row>
      <xdr:rowOff>19050</xdr:rowOff>
    </xdr:from>
    <xdr:to>
      <xdr:col>37</xdr:col>
      <xdr:colOff>0</xdr:colOff>
      <xdr:row>29</xdr:row>
      <xdr:rowOff>133350</xdr:rowOff>
    </xdr:to>
    <xdr:sp macro="" textlink="">
      <xdr:nvSpPr>
        <xdr:cNvPr id="24422" name="직사각형 24421">
          <a:extLst>
            <a:ext uri="{FF2B5EF4-FFF2-40B4-BE49-F238E27FC236}">
              <a16:creationId xmlns:a16="http://schemas.microsoft.com/office/drawing/2014/main" id="{F62EA34F-F348-4881-8038-B48C42AF5FCE}"/>
            </a:ext>
          </a:extLst>
        </xdr:cNvPr>
        <xdr:cNvSpPr/>
      </xdr:nvSpPr>
      <xdr:spPr>
        <a:xfrm>
          <a:off x="9390290" y="4572000"/>
          <a:ext cx="44903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122465</xdr:colOff>
      <xdr:row>29</xdr:row>
      <xdr:rowOff>76200</xdr:rowOff>
    </xdr:from>
    <xdr:to>
      <xdr:col>37</xdr:col>
      <xdr:colOff>0</xdr:colOff>
      <xdr:row>29</xdr:row>
      <xdr:rowOff>76200</xdr:rowOff>
    </xdr:to>
    <xdr:cxnSp macro="">
      <xdr:nvCxnSpPr>
        <xdr:cNvPr id="24423" name="직선 화살표 연결선 24422">
          <a:extLst>
            <a:ext uri="{FF2B5EF4-FFF2-40B4-BE49-F238E27FC236}">
              <a16:creationId xmlns:a16="http://schemas.microsoft.com/office/drawing/2014/main" id="{BF039FEE-AE87-4E9F-8A80-78BFAEC47F72}"/>
            </a:ext>
          </a:extLst>
        </xdr:cNvPr>
        <xdr:cNvCxnSpPr/>
      </xdr:nvCxnSpPr>
      <xdr:spPr>
        <a:xfrm>
          <a:off x="9390290" y="4629150"/>
          <a:ext cx="449035"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122465</xdr:colOff>
      <xdr:row>28</xdr:row>
      <xdr:rowOff>19050</xdr:rowOff>
    </xdr:from>
    <xdr:to>
      <xdr:col>40</xdr:col>
      <xdr:colOff>0</xdr:colOff>
      <xdr:row>28</xdr:row>
      <xdr:rowOff>133350</xdr:rowOff>
    </xdr:to>
    <xdr:sp macro="" textlink="">
      <xdr:nvSpPr>
        <xdr:cNvPr id="24424" name="직사각형 24423">
          <a:extLst>
            <a:ext uri="{FF2B5EF4-FFF2-40B4-BE49-F238E27FC236}">
              <a16:creationId xmlns:a16="http://schemas.microsoft.com/office/drawing/2014/main" id="{4F8CA54E-43D9-4F7A-94BC-F579B21E46BE}"/>
            </a:ext>
          </a:extLst>
        </xdr:cNvPr>
        <xdr:cNvSpPr/>
      </xdr:nvSpPr>
      <xdr:spPr>
        <a:xfrm>
          <a:off x="9390290" y="4419600"/>
          <a:ext cx="87766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122465</xdr:colOff>
      <xdr:row>28</xdr:row>
      <xdr:rowOff>76200</xdr:rowOff>
    </xdr:from>
    <xdr:to>
      <xdr:col>38</xdr:col>
      <xdr:colOff>110218</xdr:colOff>
      <xdr:row>28</xdr:row>
      <xdr:rowOff>76200</xdr:rowOff>
    </xdr:to>
    <xdr:cxnSp macro="">
      <xdr:nvCxnSpPr>
        <xdr:cNvPr id="24425" name="직선 화살표 연결선 24424">
          <a:extLst>
            <a:ext uri="{FF2B5EF4-FFF2-40B4-BE49-F238E27FC236}">
              <a16:creationId xmlns:a16="http://schemas.microsoft.com/office/drawing/2014/main" id="{E736EAAE-E111-4189-B9EF-94897CBF3262}"/>
            </a:ext>
          </a:extLst>
        </xdr:cNvPr>
        <xdr:cNvCxnSpPr/>
      </xdr:nvCxnSpPr>
      <xdr:spPr>
        <a:xfrm>
          <a:off x="9390290" y="4476750"/>
          <a:ext cx="702128"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122465</xdr:colOff>
      <xdr:row>27</xdr:row>
      <xdr:rowOff>19050</xdr:rowOff>
    </xdr:from>
    <xdr:to>
      <xdr:col>40</xdr:col>
      <xdr:colOff>0</xdr:colOff>
      <xdr:row>27</xdr:row>
      <xdr:rowOff>133350</xdr:rowOff>
    </xdr:to>
    <xdr:sp macro="" textlink="">
      <xdr:nvSpPr>
        <xdr:cNvPr id="24426" name="직사각형 24425">
          <a:extLst>
            <a:ext uri="{FF2B5EF4-FFF2-40B4-BE49-F238E27FC236}">
              <a16:creationId xmlns:a16="http://schemas.microsoft.com/office/drawing/2014/main" id="{F8139BDE-6DAF-4673-8031-468F1AB64563}"/>
            </a:ext>
          </a:extLst>
        </xdr:cNvPr>
        <xdr:cNvSpPr/>
      </xdr:nvSpPr>
      <xdr:spPr>
        <a:xfrm>
          <a:off x="9390290" y="4267200"/>
          <a:ext cx="87766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122465</xdr:colOff>
      <xdr:row>27</xdr:row>
      <xdr:rowOff>76200</xdr:rowOff>
    </xdr:from>
    <xdr:to>
      <xdr:col>40</xdr:col>
      <xdr:colOff>0</xdr:colOff>
      <xdr:row>27</xdr:row>
      <xdr:rowOff>76200</xdr:rowOff>
    </xdr:to>
    <xdr:cxnSp macro="">
      <xdr:nvCxnSpPr>
        <xdr:cNvPr id="24427" name="직선 화살표 연결선 24426">
          <a:extLst>
            <a:ext uri="{FF2B5EF4-FFF2-40B4-BE49-F238E27FC236}">
              <a16:creationId xmlns:a16="http://schemas.microsoft.com/office/drawing/2014/main" id="{15609A2C-3B1E-47C4-9CA1-D10EC2E65AD7}"/>
            </a:ext>
          </a:extLst>
        </xdr:cNvPr>
        <xdr:cNvCxnSpPr/>
      </xdr:nvCxnSpPr>
      <xdr:spPr>
        <a:xfrm>
          <a:off x="9390290" y="4324350"/>
          <a:ext cx="87766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122465</xdr:colOff>
      <xdr:row>26</xdr:row>
      <xdr:rowOff>19050</xdr:rowOff>
    </xdr:from>
    <xdr:to>
      <xdr:col>40</xdr:col>
      <xdr:colOff>0</xdr:colOff>
      <xdr:row>26</xdr:row>
      <xdr:rowOff>133350</xdr:rowOff>
    </xdr:to>
    <xdr:sp macro="" textlink="">
      <xdr:nvSpPr>
        <xdr:cNvPr id="24428" name="직사각형 24427">
          <a:extLst>
            <a:ext uri="{FF2B5EF4-FFF2-40B4-BE49-F238E27FC236}">
              <a16:creationId xmlns:a16="http://schemas.microsoft.com/office/drawing/2014/main" id="{6B252801-7A7D-4238-B7FE-999933BD26DA}"/>
            </a:ext>
          </a:extLst>
        </xdr:cNvPr>
        <xdr:cNvSpPr/>
      </xdr:nvSpPr>
      <xdr:spPr>
        <a:xfrm>
          <a:off x="9390290" y="4114800"/>
          <a:ext cx="87766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122465</xdr:colOff>
      <xdr:row>26</xdr:row>
      <xdr:rowOff>76200</xdr:rowOff>
    </xdr:from>
    <xdr:to>
      <xdr:col>39</xdr:col>
      <xdr:colOff>55109</xdr:colOff>
      <xdr:row>26</xdr:row>
      <xdr:rowOff>76200</xdr:rowOff>
    </xdr:to>
    <xdr:cxnSp macro="">
      <xdr:nvCxnSpPr>
        <xdr:cNvPr id="24429" name="직선 화살표 연결선 24428">
          <a:extLst>
            <a:ext uri="{FF2B5EF4-FFF2-40B4-BE49-F238E27FC236}">
              <a16:creationId xmlns:a16="http://schemas.microsoft.com/office/drawing/2014/main" id="{0941B6D0-D4B5-4AFB-8794-B1BDC7C2B2DA}"/>
            </a:ext>
          </a:extLst>
        </xdr:cNvPr>
        <xdr:cNvCxnSpPr/>
      </xdr:nvCxnSpPr>
      <xdr:spPr>
        <a:xfrm>
          <a:off x="9390290" y="4171950"/>
          <a:ext cx="78989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122465</xdr:colOff>
      <xdr:row>25</xdr:row>
      <xdr:rowOff>19050</xdr:rowOff>
    </xdr:from>
    <xdr:to>
      <xdr:col>40</xdr:col>
      <xdr:colOff>0</xdr:colOff>
      <xdr:row>25</xdr:row>
      <xdr:rowOff>133350</xdr:rowOff>
    </xdr:to>
    <xdr:sp macro="" textlink="">
      <xdr:nvSpPr>
        <xdr:cNvPr id="24430" name="직사각형 24429">
          <a:extLst>
            <a:ext uri="{FF2B5EF4-FFF2-40B4-BE49-F238E27FC236}">
              <a16:creationId xmlns:a16="http://schemas.microsoft.com/office/drawing/2014/main" id="{A707B7B9-933E-428A-841A-5E75C0EE8DE7}"/>
            </a:ext>
          </a:extLst>
        </xdr:cNvPr>
        <xdr:cNvSpPr/>
      </xdr:nvSpPr>
      <xdr:spPr>
        <a:xfrm>
          <a:off x="9390290" y="3962400"/>
          <a:ext cx="87766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122465</xdr:colOff>
      <xdr:row>25</xdr:row>
      <xdr:rowOff>76200</xdr:rowOff>
    </xdr:from>
    <xdr:to>
      <xdr:col>39</xdr:col>
      <xdr:colOff>92889</xdr:colOff>
      <xdr:row>25</xdr:row>
      <xdr:rowOff>76200</xdr:rowOff>
    </xdr:to>
    <xdr:cxnSp macro="">
      <xdr:nvCxnSpPr>
        <xdr:cNvPr id="24431" name="직선 화살표 연결선 24430">
          <a:extLst>
            <a:ext uri="{FF2B5EF4-FFF2-40B4-BE49-F238E27FC236}">
              <a16:creationId xmlns:a16="http://schemas.microsoft.com/office/drawing/2014/main" id="{1279DC9F-C8D8-4D8E-B2A3-C9B3ED158B59}"/>
            </a:ext>
          </a:extLst>
        </xdr:cNvPr>
        <xdr:cNvCxnSpPr/>
      </xdr:nvCxnSpPr>
      <xdr:spPr>
        <a:xfrm>
          <a:off x="9390290" y="4019550"/>
          <a:ext cx="82767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122465</xdr:colOff>
      <xdr:row>24</xdr:row>
      <xdr:rowOff>19050</xdr:rowOff>
    </xdr:from>
    <xdr:to>
      <xdr:col>40</xdr:col>
      <xdr:colOff>0</xdr:colOff>
      <xdr:row>24</xdr:row>
      <xdr:rowOff>133350</xdr:rowOff>
    </xdr:to>
    <xdr:sp macro="" textlink="">
      <xdr:nvSpPr>
        <xdr:cNvPr id="24432" name="직사각형 24431">
          <a:extLst>
            <a:ext uri="{FF2B5EF4-FFF2-40B4-BE49-F238E27FC236}">
              <a16:creationId xmlns:a16="http://schemas.microsoft.com/office/drawing/2014/main" id="{E2CC7935-0221-4915-BD25-29E4117FDC1D}"/>
            </a:ext>
          </a:extLst>
        </xdr:cNvPr>
        <xdr:cNvSpPr/>
      </xdr:nvSpPr>
      <xdr:spPr>
        <a:xfrm>
          <a:off x="9390290" y="3810000"/>
          <a:ext cx="87766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122465</xdr:colOff>
      <xdr:row>24</xdr:row>
      <xdr:rowOff>76200</xdr:rowOff>
    </xdr:from>
    <xdr:to>
      <xdr:col>39</xdr:col>
      <xdr:colOff>98859</xdr:colOff>
      <xdr:row>24</xdr:row>
      <xdr:rowOff>76200</xdr:rowOff>
    </xdr:to>
    <xdr:cxnSp macro="">
      <xdr:nvCxnSpPr>
        <xdr:cNvPr id="24433" name="직선 화살표 연결선 24432">
          <a:extLst>
            <a:ext uri="{FF2B5EF4-FFF2-40B4-BE49-F238E27FC236}">
              <a16:creationId xmlns:a16="http://schemas.microsoft.com/office/drawing/2014/main" id="{63A23479-FFB7-4B92-8B6F-DE9F90E7398E}"/>
            </a:ext>
          </a:extLst>
        </xdr:cNvPr>
        <xdr:cNvCxnSpPr/>
      </xdr:nvCxnSpPr>
      <xdr:spPr>
        <a:xfrm>
          <a:off x="9390290" y="3867150"/>
          <a:ext cx="83364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122465</xdr:colOff>
      <xdr:row>23</xdr:row>
      <xdr:rowOff>19050</xdr:rowOff>
    </xdr:from>
    <xdr:to>
      <xdr:col>32</xdr:col>
      <xdr:colOff>122465</xdr:colOff>
      <xdr:row>23</xdr:row>
      <xdr:rowOff>133350</xdr:rowOff>
    </xdr:to>
    <xdr:sp macro="" textlink="">
      <xdr:nvSpPr>
        <xdr:cNvPr id="24434" name="직사각형 24433">
          <a:extLst>
            <a:ext uri="{FF2B5EF4-FFF2-40B4-BE49-F238E27FC236}">
              <a16:creationId xmlns:a16="http://schemas.microsoft.com/office/drawing/2014/main" id="{9965D632-D227-49CB-946D-B77F85FBC2EB}"/>
            </a:ext>
          </a:extLst>
        </xdr:cNvPr>
        <xdr:cNvSpPr/>
      </xdr:nvSpPr>
      <xdr:spPr>
        <a:xfrm>
          <a:off x="8818790" y="3657600"/>
          <a:ext cx="42862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122465</xdr:colOff>
      <xdr:row>23</xdr:row>
      <xdr:rowOff>76200</xdr:rowOff>
    </xdr:from>
    <xdr:to>
      <xdr:col>32</xdr:col>
      <xdr:colOff>122465</xdr:colOff>
      <xdr:row>23</xdr:row>
      <xdr:rowOff>76200</xdr:rowOff>
    </xdr:to>
    <xdr:cxnSp macro="">
      <xdr:nvCxnSpPr>
        <xdr:cNvPr id="24435" name="직선 화살표 연결선 24434">
          <a:extLst>
            <a:ext uri="{FF2B5EF4-FFF2-40B4-BE49-F238E27FC236}">
              <a16:creationId xmlns:a16="http://schemas.microsoft.com/office/drawing/2014/main" id="{B2B3767C-551B-4740-B33C-BC4FAFD2807F}"/>
            </a:ext>
          </a:extLst>
        </xdr:cNvPr>
        <xdr:cNvCxnSpPr/>
      </xdr:nvCxnSpPr>
      <xdr:spPr>
        <a:xfrm>
          <a:off x="8818790" y="3714750"/>
          <a:ext cx="428625"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122465</xdr:colOff>
      <xdr:row>22</xdr:row>
      <xdr:rowOff>19050</xdr:rowOff>
    </xdr:from>
    <xdr:to>
      <xdr:col>32</xdr:col>
      <xdr:colOff>122465</xdr:colOff>
      <xdr:row>22</xdr:row>
      <xdr:rowOff>133350</xdr:rowOff>
    </xdr:to>
    <xdr:sp macro="" textlink="">
      <xdr:nvSpPr>
        <xdr:cNvPr id="24436" name="직사각형 24435">
          <a:extLst>
            <a:ext uri="{FF2B5EF4-FFF2-40B4-BE49-F238E27FC236}">
              <a16:creationId xmlns:a16="http://schemas.microsoft.com/office/drawing/2014/main" id="{CD035EEA-94F1-4790-9FF7-9BF73F7F7F67}"/>
            </a:ext>
          </a:extLst>
        </xdr:cNvPr>
        <xdr:cNvSpPr/>
      </xdr:nvSpPr>
      <xdr:spPr>
        <a:xfrm>
          <a:off x="8818790" y="3505200"/>
          <a:ext cx="42862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122465</xdr:colOff>
      <xdr:row>22</xdr:row>
      <xdr:rowOff>76200</xdr:rowOff>
    </xdr:from>
    <xdr:to>
      <xdr:col>31</xdr:col>
      <xdr:colOff>51027</xdr:colOff>
      <xdr:row>22</xdr:row>
      <xdr:rowOff>76200</xdr:rowOff>
    </xdr:to>
    <xdr:cxnSp macro="">
      <xdr:nvCxnSpPr>
        <xdr:cNvPr id="24437" name="직선 화살표 연결선 24436">
          <a:extLst>
            <a:ext uri="{FF2B5EF4-FFF2-40B4-BE49-F238E27FC236}">
              <a16:creationId xmlns:a16="http://schemas.microsoft.com/office/drawing/2014/main" id="{428C2FFE-95C5-4AEC-88A7-CE0D39DA529C}"/>
            </a:ext>
          </a:extLst>
        </xdr:cNvPr>
        <xdr:cNvCxnSpPr/>
      </xdr:nvCxnSpPr>
      <xdr:spPr>
        <a:xfrm>
          <a:off x="8818790" y="3562350"/>
          <a:ext cx="21431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122465</xdr:colOff>
      <xdr:row>21</xdr:row>
      <xdr:rowOff>19050</xdr:rowOff>
    </xdr:from>
    <xdr:to>
      <xdr:col>32</xdr:col>
      <xdr:colOff>122465</xdr:colOff>
      <xdr:row>21</xdr:row>
      <xdr:rowOff>133350</xdr:rowOff>
    </xdr:to>
    <xdr:sp macro="" textlink="">
      <xdr:nvSpPr>
        <xdr:cNvPr id="24438" name="직사각형 24437">
          <a:extLst>
            <a:ext uri="{FF2B5EF4-FFF2-40B4-BE49-F238E27FC236}">
              <a16:creationId xmlns:a16="http://schemas.microsoft.com/office/drawing/2014/main" id="{53796A13-E461-443A-92AE-5924B3A220C6}"/>
            </a:ext>
          </a:extLst>
        </xdr:cNvPr>
        <xdr:cNvSpPr/>
      </xdr:nvSpPr>
      <xdr:spPr>
        <a:xfrm>
          <a:off x="8818790" y="3352800"/>
          <a:ext cx="42862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122465</xdr:colOff>
      <xdr:row>21</xdr:row>
      <xdr:rowOff>76200</xdr:rowOff>
    </xdr:from>
    <xdr:to>
      <xdr:col>32</xdr:col>
      <xdr:colOff>122465</xdr:colOff>
      <xdr:row>21</xdr:row>
      <xdr:rowOff>76200</xdr:rowOff>
    </xdr:to>
    <xdr:cxnSp macro="">
      <xdr:nvCxnSpPr>
        <xdr:cNvPr id="24439" name="직선 화살표 연결선 24438">
          <a:extLst>
            <a:ext uri="{FF2B5EF4-FFF2-40B4-BE49-F238E27FC236}">
              <a16:creationId xmlns:a16="http://schemas.microsoft.com/office/drawing/2014/main" id="{D4E87746-1C48-4472-A166-D0BB5C02981A}"/>
            </a:ext>
          </a:extLst>
        </xdr:cNvPr>
        <xdr:cNvCxnSpPr/>
      </xdr:nvCxnSpPr>
      <xdr:spPr>
        <a:xfrm>
          <a:off x="8818790" y="3409950"/>
          <a:ext cx="428625"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122465</xdr:colOff>
      <xdr:row>20</xdr:row>
      <xdr:rowOff>19050</xdr:rowOff>
    </xdr:from>
    <xdr:to>
      <xdr:col>32</xdr:col>
      <xdr:colOff>122465</xdr:colOff>
      <xdr:row>20</xdr:row>
      <xdr:rowOff>133350</xdr:rowOff>
    </xdr:to>
    <xdr:sp macro="" textlink="">
      <xdr:nvSpPr>
        <xdr:cNvPr id="24440" name="직사각형 24439">
          <a:extLst>
            <a:ext uri="{FF2B5EF4-FFF2-40B4-BE49-F238E27FC236}">
              <a16:creationId xmlns:a16="http://schemas.microsoft.com/office/drawing/2014/main" id="{39359A46-B057-47AA-A66C-95A250B65DF4}"/>
            </a:ext>
          </a:extLst>
        </xdr:cNvPr>
        <xdr:cNvSpPr/>
      </xdr:nvSpPr>
      <xdr:spPr>
        <a:xfrm>
          <a:off x="8818790" y="3200400"/>
          <a:ext cx="42862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122465</xdr:colOff>
      <xdr:row>20</xdr:row>
      <xdr:rowOff>76200</xdr:rowOff>
    </xdr:from>
    <xdr:to>
      <xdr:col>32</xdr:col>
      <xdr:colOff>122465</xdr:colOff>
      <xdr:row>20</xdr:row>
      <xdr:rowOff>76200</xdr:rowOff>
    </xdr:to>
    <xdr:cxnSp macro="">
      <xdr:nvCxnSpPr>
        <xdr:cNvPr id="24441" name="직선 화살표 연결선 24440">
          <a:extLst>
            <a:ext uri="{FF2B5EF4-FFF2-40B4-BE49-F238E27FC236}">
              <a16:creationId xmlns:a16="http://schemas.microsoft.com/office/drawing/2014/main" id="{4C690C91-5996-4B13-9FD6-2C502552D626}"/>
            </a:ext>
          </a:extLst>
        </xdr:cNvPr>
        <xdr:cNvCxnSpPr/>
      </xdr:nvCxnSpPr>
      <xdr:spPr>
        <a:xfrm>
          <a:off x="8818790" y="3257550"/>
          <a:ext cx="428625"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122465</xdr:colOff>
      <xdr:row>19</xdr:row>
      <xdr:rowOff>19050</xdr:rowOff>
    </xdr:from>
    <xdr:to>
      <xdr:col>32</xdr:col>
      <xdr:colOff>122465</xdr:colOff>
      <xdr:row>19</xdr:row>
      <xdr:rowOff>133350</xdr:rowOff>
    </xdr:to>
    <xdr:sp macro="" textlink="">
      <xdr:nvSpPr>
        <xdr:cNvPr id="24442" name="직사각형 24441">
          <a:extLst>
            <a:ext uri="{FF2B5EF4-FFF2-40B4-BE49-F238E27FC236}">
              <a16:creationId xmlns:a16="http://schemas.microsoft.com/office/drawing/2014/main" id="{7CEB07A7-A518-4F8D-8FAD-6C79027B8B1F}"/>
            </a:ext>
          </a:extLst>
        </xdr:cNvPr>
        <xdr:cNvSpPr/>
      </xdr:nvSpPr>
      <xdr:spPr>
        <a:xfrm>
          <a:off x="8818790" y="3048000"/>
          <a:ext cx="42862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122465</xdr:colOff>
      <xdr:row>19</xdr:row>
      <xdr:rowOff>76200</xdr:rowOff>
    </xdr:from>
    <xdr:to>
      <xdr:col>32</xdr:col>
      <xdr:colOff>122465</xdr:colOff>
      <xdr:row>19</xdr:row>
      <xdr:rowOff>76200</xdr:rowOff>
    </xdr:to>
    <xdr:cxnSp macro="">
      <xdr:nvCxnSpPr>
        <xdr:cNvPr id="24443" name="직선 화살표 연결선 24442">
          <a:extLst>
            <a:ext uri="{FF2B5EF4-FFF2-40B4-BE49-F238E27FC236}">
              <a16:creationId xmlns:a16="http://schemas.microsoft.com/office/drawing/2014/main" id="{36655174-0A51-40C1-B9E8-50C2BEA8CFB1}"/>
            </a:ext>
          </a:extLst>
        </xdr:cNvPr>
        <xdr:cNvCxnSpPr/>
      </xdr:nvCxnSpPr>
      <xdr:spPr>
        <a:xfrm>
          <a:off x="8818790" y="3105150"/>
          <a:ext cx="428625"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122465</xdr:colOff>
      <xdr:row>18</xdr:row>
      <xdr:rowOff>19050</xdr:rowOff>
    </xdr:from>
    <xdr:to>
      <xdr:col>32</xdr:col>
      <xdr:colOff>122465</xdr:colOff>
      <xdr:row>18</xdr:row>
      <xdr:rowOff>133350</xdr:rowOff>
    </xdr:to>
    <xdr:sp macro="" textlink="">
      <xdr:nvSpPr>
        <xdr:cNvPr id="24444" name="직사각형 24443">
          <a:extLst>
            <a:ext uri="{FF2B5EF4-FFF2-40B4-BE49-F238E27FC236}">
              <a16:creationId xmlns:a16="http://schemas.microsoft.com/office/drawing/2014/main" id="{D714D7A3-E01A-4846-AD8A-445A3FF23471}"/>
            </a:ext>
          </a:extLst>
        </xdr:cNvPr>
        <xdr:cNvSpPr/>
      </xdr:nvSpPr>
      <xdr:spPr>
        <a:xfrm>
          <a:off x="8818790" y="2895600"/>
          <a:ext cx="428625"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122465</xdr:colOff>
      <xdr:row>18</xdr:row>
      <xdr:rowOff>76200</xdr:rowOff>
    </xdr:from>
    <xdr:to>
      <xdr:col>32</xdr:col>
      <xdr:colOff>79602</xdr:colOff>
      <xdr:row>18</xdr:row>
      <xdr:rowOff>76200</xdr:rowOff>
    </xdr:to>
    <xdr:cxnSp macro="">
      <xdr:nvCxnSpPr>
        <xdr:cNvPr id="24445" name="직선 화살표 연결선 24444">
          <a:extLst>
            <a:ext uri="{FF2B5EF4-FFF2-40B4-BE49-F238E27FC236}">
              <a16:creationId xmlns:a16="http://schemas.microsoft.com/office/drawing/2014/main" id="{D3D0B131-E251-4CDF-ADB0-90C7CE1017E6}"/>
            </a:ext>
          </a:extLst>
        </xdr:cNvPr>
        <xdr:cNvCxnSpPr/>
      </xdr:nvCxnSpPr>
      <xdr:spPr>
        <a:xfrm>
          <a:off x="8818790" y="2952750"/>
          <a:ext cx="38576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122465</xdr:colOff>
      <xdr:row>17</xdr:row>
      <xdr:rowOff>19050</xdr:rowOff>
    </xdr:from>
    <xdr:to>
      <xdr:col>30</xdr:col>
      <xdr:colOff>0</xdr:colOff>
      <xdr:row>17</xdr:row>
      <xdr:rowOff>133350</xdr:rowOff>
    </xdr:to>
    <xdr:sp macro="" textlink="">
      <xdr:nvSpPr>
        <xdr:cNvPr id="24446" name="직사각형 24445">
          <a:extLst>
            <a:ext uri="{FF2B5EF4-FFF2-40B4-BE49-F238E27FC236}">
              <a16:creationId xmlns:a16="http://schemas.microsoft.com/office/drawing/2014/main" id="{51A71A52-411A-4580-95FA-FF7064F30A6A}"/>
            </a:ext>
          </a:extLst>
        </xdr:cNvPr>
        <xdr:cNvSpPr/>
      </xdr:nvSpPr>
      <xdr:spPr>
        <a:xfrm>
          <a:off x="8818790" y="2743200"/>
          <a:ext cx="2041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122465</xdr:colOff>
      <xdr:row>17</xdr:row>
      <xdr:rowOff>76200</xdr:rowOff>
    </xdr:from>
    <xdr:to>
      <xdr:col>30</xdr:col>
      <xdr:colOff>0</xdr:colOff>
      <xdr:row>17</xdr:row>
      <xdr:rowOff>76200</xdr:rowOff>
    </xdr:to>
    <xdr:cxnSp macro="">
      <xdr:nvCxnSpPr>
        <xdr:cNvPr id="24447" name="직선 화살표 연결선 24446">
          <a:extLst>
            <a:ext uri="{FF2B5EF4-FFF2-40B4-BE49-F238E27FC236}">
              <a16:creationId xmlns:a16="http://schemas.microsoft.com/office/drawing/2014/main" id="{325C9EC9-84D3-42D7-9223-57B549FE1301}"/>
            </a:ext>
          </a:extLst>
        </xdr:cNvPr>
        <xdr:cNvCxnSpPr/>
      </xdr:nvCxnSpPr>
      <xdr:spPr>
        <a:xfrm>
          <a:off x="8818790" y="2800350"/>
          <a:ext cx="2041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122465</xdr:colOff>
      <xdr:row>16</xdr:row>
      <xdr:rowOff>19050</xdr:rowOff>
    </xdr:from>
    <xdr:to>
      <xdr:col>30</xdr:col>
      <xdr:colOff>0</xdr:colOff>
      <xdr:row>16</xdr:row>
      <xdr:rowOff>133350</xdr:rowOff>
    </xdr:to>
    <xdr:sp macro="" textlink="">
      <xdr:nvSpPr>
        <xdr:cNvPr id="24448" name="직사각형 24447">
          <a:extLst>
            <a:ext uri="{FF2B5EF4-FFF2-40B4-BE49-F238E27FC236}">
              <a16:creationId xmlns:a16="http://schemas.microsoft.com/office/drawing/2014/main" id="{8E7F3881-5EE5-4961-BC08-A22F5E89FD38}"/>
            </a:ext>
          </a:extLst>
        </xdr:cNvPr>
        <xdr:cNvSpPr/>
      </xdr:nvSpPr>
      <xdr:spPr>
        <a:xfrm>
          <a:off x="8818790" y="2590800"/>
          <a:ext cx="2041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122465</xdr:colOff>
      <xdr:row>16</xdr:row>
      <xdr:rowOff>76200</xdr:rowOff>
    </xdr:from>
    <xdr:to>
      <xdr:col>30</xdr:col>
      <xdr:colOff>0</xdr:colOff>
      <xdr:row>16</xdr:row>
      <xdr:rowOff>76200</xdr:rowOff>
    </xdr:to>
    <xdr:cxnSp macro="">
      <xdr:nvCxnSpPr>
        <xdr:cNvPr id="24449" name="직선 화살표 연결선 24448">
          <a:extLst>
            <a:ext uri="{FF2B5EF4-FFF2-40B4-BE49-F238E27FC236}">
              <a16:creationId xmlns:a16="http://schemas.microsoft.com/office/drawing/2014/main" id="{FAFD1457-3FD9-4FEA-9CAF-888619DEBB7A}"/>
            </a:ext>
          </a:extLst>
        </xdr:cNvPr>
        <xdr:cNvCxnSpPr/>
      </xdr:nvCxnSpPr>
      <xdr:spPr>
        <a:xfrm>
          <a:off x="8818790" y="2647950"/>
          <a:ext cx="2041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122465</xdr:colOff>
      <xdr:row>15</xdr:row>
      <xdr:rowOff>19050</xdr:rowOff>
    </xdr:from>
    <xdr:to>
      <xdr:col>42</xdr:col>
      <xdr:colOff>0</xdr:colOff>
      <xdr:row>15</xdr:row>
      <xdr:rowOff>133350</xdr:rowOff>
    </xdr:to>
    <xdr:sp macro="" textlink="">
      <xdr:nvSpPr>
        <xdr:cNvPr id="24450" name="직사각형 24449">
          <a:extLst>
            <a:ext uri="{FF2B5EF4-FFF2-40B4-BE49-F238E27FC236}">
              <a16:creationId xmlns:a16="http://schemas.microsoft.com/office/drawing/2014/main" id="{4DD8C721-46EE-4EF0-AFF3-0868151B33F3}"/>
            </a:ext>
          </a:extLst>
        </xdr:cNvPr>
        <xdr:cNvSpPr/>
      </xdr:nvSpPr>
      <xdr:spPr>
        <a:xfrm>
          <a:off x="8818790" y="2438400"/>
          <a:ext cx="173491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122465</xdr:colOff>
      <xdr:row>15</xdr:row>
      <xdr:rowOff>76200</xdr:rowOff>
    </xdr:from>
    <xdr:to>
      <xdr:col>40</xdr:col>
      <xdr:colOff>106290</xdr:colOff>
      <xdr:row>15</xdr:row>
      <xdr:rowOff>76200</xdr:rowOff>
    </xdr:to>
    <xdr:cxnSp macro="">
      <xdr:nvCxnSpPr>
        <xdr:cNvPr id="24451" name="직선 화살표 연결선 24450">
          <a:extLst>
            <a:ext uri="{FF2B5EF4-FFF2-40B4-BE49-F238E27FC236}">
              <a16:creationId xmlns:a16="http://schemas.microsoft.com/office/drawing/2014/main" id="{E2CACB96-0AFB-4CDD-B3DA-BE647D13E508}"/>
            </a:ext>
          </a:extLst>
        </xdr:cNvPr>
        <xdr:cNvCxnSpPr/>
      </xdr:nvCxnSpPr>
      <xdr:spPr>
        <a:xfrm>
          <a:off x="8818790" y="2495550"/>
          <a:ext cx="155545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42</xdr:col>
      <xdr:colOff>122465</xdr:colOff>
      <xdr:row>14</xdr:row>
      <xdr:rowOff>19050</xdr:rowOff>
    </xdr:from>
    <xdr:to>
      <xdr:col>43</xdr:col>
      <xdr:colOff>0</xdr:colOff>
      <xdr:row>14</xdr:row>
      <xdr:rowOff>133350</xdr:rowOff>
    </xdr:to>
    <xdr:sp macro="" textlink="">
      <xdr:nvSpPr>
        <xdr:cNvPr id="24452" name="직사각형 24451">
          <a:extLst>
            <a:ext uri="{FF2B5EF4-FFF2-40B4-BE49-F238E27FC236}">
              <a16:creationId xmlns:a16="http://schemas.microsoft.com/office/drawing/2014/main" id="{828752FF-9EEA-4747-90F5-0BE352B1376C}"/>
            </a:ext>
          </a:extLst>
        </xdr:cNvPr>
        <xdr:cNvSpPr/>
      </xdr:nvSpPr>
      <xdr:spPr>
        <a:xfrm>
          <a:off x="10676165" y="2286000"/>
          <a:ext cx="2041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42</xdr:col>
      <xdr:colOff>122465</xdr:colOff>
      <xdr:row>14</xdr:row>
      <xdr:rowOff>76200</xdr:rowOff>
    </xdr:from>
    <xdr:to>
      <xdr:col>42</xdr:col>
      <xdr:colOff>122465</xdr:colOff>
      <xdr:row>14</xdr:row>
      <xdr:rowOff>76200</xdr:rowOff>
    </xdr:to>
    <xdr:cxnSp macro="">
      <xdr:nvCxnSpPr>
        <xdr:cNvPr id="24453" name="직선 화살표 연결선 24452">
          <a:extLst>
            <a:ext uri="{FF2B5EF4-FFF2-40B4-BE49-F238E27FC236}">
              <a16:creationId xmlns:a16="http://schemas.microsoft.com/office/drawing/2014/main" id="{F46C10D2-484F-4031-8684-97509712BA15}"/>
            </a:ext>
          </a:extLst>
        </xdr:cNvPr>
        <xdr:cNvCxnSpPr/>
      </xdr:nvCxnSpPr>
      <xdr:spPr>
        <a:xfrm>
          <a:off x="10676165" y="23431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42</xdr:col>
      <xdr:colOff>122465</xdr:colOff>
      <xdr:row>13</xdr:row>
      <xdr:rowOff>19050</xdr:rowOff>
    </xdr:from>
    <xdr:to>
      <xdr:col>43</xdr:col>
      <xdr:colOff>0</xdr:colOff>
      <xdr:row>13</xdr:row>
      <xdr:rowOff>133350</xdr:rowOff>
    </xdr:to>
    <xdr:sp macro="" textlink="">
      <xdr:nvSpPr>
        <xdr:cNvPr id="24454" name="직사각형 24453">
          <a:extLst>
            <a:ext uri="{FF2B5EF4-FFF2-40B4-BE49-F238E27FC236}">
              <a16:creationId xmlns:a16="http://schemas.microsoft.com/office/drawing/2014/main" id="{2D63DD4B-4A0B-42A4-8650-483AAC4EA461}"/>
            </a:ext>
          </a:extLst>
        </xdr:cNvPr>
        <xdr:cNvSpPr/>
      </xdr:nvSpPr>
      <xdr:spPr>
        <a:xfrm>
          <a:off x="10676165" y="2133600"/>
          <a:ext cx="2041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42</xdr:col>
      <xdr:colOff>122465</xdr:colOff>
      <xdr:row>13</xdr:row>
      <xdr:rowOff>76200</xdr:rowOff>
    </xdr:from>
    <xdr:to>
      <xdr:col>42</xdr:col>
      <xdr:colOff>122465</xdr:colOff>
      <xdr:row>13</xdr:row>
      <xdr:rowOff>76200</xdr:rowOff>
    </xdr:to>
    <xdr:cxnSp macro="">
      <xdr:nvCxnSpPr>
        <xdr:cNvPr id="24455" name="직선 화살표 연결선 24454">
          <a:extLst>
            <a:ext uri="{FF2B5EF4-FFF2-40B4-BE49-F238E27FC236}">
              <a16:creationId xmlns:a16="http://schemas.microsoft.com/office/drawing/2014/main" id="{76984DC3-9AB1-4D49-92C0-7CB04FBBDD44}"/>
            </a:ext>
          </a:extLst>
        </xdr:cNvPr>
        <xdr:cNvCxnSpPr/>
      </xdr:nvCxnSpPr>
      <xdr:spPr>
        <a:xfrm>
          <a:off x="10676165" y="21907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122465</xdr:colOff>
      <xdr:row>12</xdr:row>
      <xdr:rowOff>19050</xdr:rowOff>
    </xdr:from>
    <xdr:to>
      <xdr:col>42</xdr:col>
      <xdr:colOff>0</xdr:colOff>
      <xdr:row>12</xdr:row>
      <xdr:rowOff>133350</xdr:rowOff>
    </xdr:to>
    <xdr:sp macro="" textlink="">
      <xdr:nvSpPr>
        <xdr:cNvPr id="24456" name="직사각형 24455">
          <a:extLst>
            <a:ext uri="{FF2B5EF4-FFF2-40B4-BE49-F238E27FC236}">
              <a16:creationId xmlns:a16="http://schemas.microsoft.com/office/drawing/2014/main" id="{B99D6E28-9FD3-4391-B4C5-C4DDFE8A12F1}"/>
            </a:ext>
          </a:extLst>
        </xdr:cNvPr>
        <xdr:cNvSpPr/>
      </xdr:nvSpPr>
      <xdr:spPr>
        <a:xfrm>
          <a:off x="10533290" y="1981200"/>
          <a:ext cx="2041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41</xdr:col>
      <xdr:colOff>122465</xdr:colOff>
      <xdr:row>12</xdr:row>
      <xdr:rowOff>76200</xdr:rowOff>
    </xdr:from>
    <xdr:to>
      <xdr:col>41</xdr:col>
      <xdr:colOff>122465</xdr:colOff>
      <xdr:row>12</xdr:row>
      <xdr:rowOff>76200</xdr:rowOff>
    </xdr:to>
    <xdr:cxnSp macro="">
      <xdr:nvCxnSpPr>
        <xdr:cNvPr id="24457" name="직선 화살표 연결선 24456">
          <a:extLst>
            <a:ext uri="{FF2B5EF4-FFF2-40B4-BE49-F238E27FC236}">
              <a16:creationId xmlns:a16="http://schemas.microsoft.com/office/drawing/2014/main" id="{7E642A0C-D661-4100-A44C-4D3954C99332}"/>
            </a:ext>
          </a:extLst>
        </xdr:cNvPr>
        <xdr:cNvCxnSpPr/>
      </xdr:nvCxnSpPr>
      <xdr:spPr>
        <a:xfrm>
          <a:off x="10533290" y="20383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38</xdr:col>
      <xdr:colOff>122465</xdr:colOff>
      <xdr:row>11</xdr:row>
      <xdr:rowOff>19050</xdr:rowOff>
    </xdr:from>
    <xdr:to>
      <xdr:col>39</xdr:col>
      <xdr:colOff>0</xdr:colOff>
      <xdr:row>11</xdr:row>
      <xdr:rowOff>133350</xdr:rowOff>
    </xdr:to>
    <xdr:sp macro="" textlink="">
      <xdr:nvSpPr>
        <xdr:cNvPr id="24458" name="직사각형 24457">
          <a:extLst>
            <a:ext uri="{FF2B5EF4-FFF2-40B4-BE49-F238E27FC236}">
              <a16:creationId xmlns:a16="http://schemas.microsoft.com/office/drawing/2014/main" id="{1147EF2A-A374-4140-B75B-A3133D57182C}"/>
            </a:ext>
          </a:extLst>
        </xdr:cNvPr>
        <xdr:cNvSpPr/>
      </xdr:nvSpPr>
      <xdr:spPr>
        <a:xfrm>
          <a:off x="10104665" y="1828800"/>
          <a:ext cx="2041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38</xdr:col>
      <xdr:colOff>122465</xdr:colOff>
      <xdr:row>11</xdr:row>
      <xdr:rowOff>76200</xdr:rowOff>
    </xdr:from>
    <xdr:to>
      <xdr:col>39</xdr:col>
      <xdr:colOff>0</xdr:colOff>
      <xdr:row>11</xdr:row>
      <xdr:rowOff>76200</xdr:rowOff>
    </xdr:to>
    <xdr:cxnSp macro="">
      <xdr:nvCxnSpPr>
        <xdr:cNvPr id="24459" name="직선 화살표 연결선 24458">
          <a:extLst>
            <a:ext uri="{FF2B5EF4-FFF2-40B4-BE49-F238E27FC236}">
              <a16:creationId xmlns:a16="http://schemas.microsoft.com/office/drawing/2014/main" id="{D1C04C28-7CC7-4F16-A71C-D2124230ECA5}"/>
            </a:ext>
          </a:extLst>
        </xdr:cNvPr>
        <xdr:cNvCxnSpPr/>
      </xdr:nvCxnSpPr>
      <xdr:spPr>
        <a:xfrm>
          <a:off x="10104665" y="1885950"/>
          <a:ext cx="2041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38</xdr:col>
      <xdr:colOff>122465</xdr:colOff>
      <xdr:row>10</xdr:row>
      <xdr:rowOff>19050</xdr:rowOff>
    </xdr:from>
    <xdr:to>
      <xdr:col>42</xdr:col>
      <xdr:colOff>0</xdr:colOff>
      <xdr:row>10</xdr:row>
      <xdr:rowOff>133350</xdr:rowOff>
    </xdr:to>
    <xdr:sp macro="" textlink="">
      <xdr:nvSpPr>
        <xdr:cNvPr id="24460" name="직사각형 24459">
          <a:extLst>
            <a:ext uri="{FF2B5EF4-FFF2-40B4-BE49-F238E27FC236}">
              <a16:creationId xmlns:a16="http://schemas.microsoft.com/office/drawing/2014/main" id="{7C2E9870-5164-4D5A-AEE8-213FE3B066CB}"/>
            </a:ext>
          </a:extLst>
        </xdr:cNvPr>
        <xdr:cNvSpPr/>
      </xdr:nvSpPr>
      <xdr:spPr>
        <a:xfrm>
          <a:off x="10104665" y="1676400"/>
          <a:ext cx="449035"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38</xdr:col>
      <xdr:colOff>122465</xdr:colOff>
      <xdr:row>10</xdr:row>
      <xdr:rowOff>76200</xdr:rowOff>
    </xdr:from>
    <xdr:to>
      <xdr:col>40</xdr:col>
      <xdr:colOff>61232</xdr:colOff>
      <xdr:row>10</xdr:row>
      <xdr:rowOff>76200</xdr:rowOff>
    </xdr:to>
    <xdr:cxnSp macro="">
      <xdr:nvCxnSpPr>
        <xdr:cNvPr id="24461" name="직선 화살표 연결선 24460">
          <a:extLst>
            <a:ext uri="{FF2B5EF4-FFF2-40B4-BE49-F238E27FC236}">
              <a16:creationId xmlns:a16="http://schemas.microsoft.com/office/drawing/2014/main" id="{C438E7E0-B66E-4B63-B2D3-2C587D4CD8B9}"/>
            </a:ext>
          </a:extLst>
        </xdr:cNvPr>
        <xdr:cNvCxnSpPr/>
      </xdr:nvCxnSpPr>
      <xdr:spPr>
        <a:xfrm>
          <a:off x="10104665" y="1733550"/>
          <a:ext cx="224517"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122465</xdr:colOff>
      <xdr:row>9</xdr:row>
      <xdr:rowOff>19050</xdr:rowOff>
    </xdr:from>
    <xdr:to>
      <xdr:col>29</xdr:col>
      <xdr:colOff>0</xdr:colOff>
      <xdr:row>9</xdr:row>
      <xdr:rowOff>133350</xdr:rowOff>
    </xdr:to>
    <xdr:sp macro="" textlink="">
      <xdr:nvSpPr>
        <xdr:cNvPr id="24462" name="직사각형 24461">
          <a:extLst>
            <a:ext uri="{FF2B5EF4-FFF2-40B4-BE49-F238E27FC236}">
              <a16:creationId xmlns:a16="http://schemas.microsoft.com/office/drawing/2014/main" id="{B021CBED-B7FC-44BF-B424-AA7D4754BED7}"/>
            </a:ext>
          </a:extLst>
        </xdr:cNvPr>
        <xdr:cNvSpPr/>
      </xdr:nvSpPr>
      <xdr:spPr>
        <a:xfrm>
          <a:off x="8675915" y="1524000"/>
          <a:ext cx="2041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28</xdr:col>
      <xdr:colOff>122465</xdr:colOff>
      <xdr:row>9</xdr:row>
      <xdr:rowOff>76200</xdr:rowOff>
    </xdr:from>
    <xdr:to>
      <xdr:col>29</xdr:col>
      <xdr:colOff>0</xdr:colOff>
      <xdr:row>9</xdr:row>
      <xdr:rowOff>76200</xdr:rowOff>
    </xdr:to>
    <xdr:cxnSp macro="">
      <xdr:nvCxnSpPr>
        <xdr:cNvPr id="24463" name="직선 화살표 연결선 24462">
          <a:extLst>
            <a:ext uri="{FF2B5EF4-FFF2-40B4-BE49-F238E27FC236}">
              <a16:creationId xmlns:a16="http://schemas.microsoft.com/office/drawing/2014/main" id="{DCF30957-7B91-44DA-BCB7-D58647829D38}"/>
            </a:ext>
          </a:extLst>
        </xdr:cNvPr>
        <xdr:cNvCxnSpPr/>
      </xdr:nvCxnSpPr>
      <xdr:spPr>
        <a:xfrm>
          <a:off x="8675915" y="1581150"/>
          <a:ext cx="2041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122465</xdr:colOff>
      <xdr:row>8</xdr:row>
      <xdr:rowOff>19050</xdr:rowOff>
    </xdr:from>
    <xdr:to>
      <xdr:col>30</xdr:col>
      <xdr:colOff>0</xdr:colOff>
      <xdr:row>8</xdr:row>
      <xdr:rowOff>133350</xdr:rowOff>
    </xdr:to>
    <xdr:sp macro="" textlink="">
      <xdr:nvSpPr>
        <xdr:cNvPr id="24464" name="직사각형 24463">
          <a:extLst>
            <a:ext uri="{FF2B5EF4-FFF2-40B4-BE49-F238E27FC236}">
              <a16:creationId xmlns:a16="http://schemas.microsoft.com/office/drawing/2014/main" id="{984D5CB0-D45F-4339-A105-5650CACF9872}"/>
            </a:ext>
          </a:extLst>
        </xdr:cNvPr>
        <xdr:cNvSpPr/>
      </xdr:nvSpPr>
      <xdr:spPr>
        <a:xfrm>
          <a:off x="8818790" y="1371600"/>
          <a:ext cx="2041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122465</xdr:colOff>
      <xdr:row>8</xdr:row>
      <xdr:rowOff>76200</xdr:rowOff>
    </xdr:from>
    <xdr:to>
      <xdr:col>30</xdr:col>
      <xdr:colOff>0</xdr:colOff>
      <xdr:row>8</xdr:row>
      <xdr:rowOff>76200</xdr:rowOff>
    </xdr:to>
    <xdr:cxnSp macro="">
      <xdr:nvCxnSpPr>
        <xdr:cNvPr id="24465" name="직선 화살표 연결선 24464">
          <a:extLst>
            <a:ext uri="{FF2B5EF4-FFF2-40B4-BE49-F238E27FC236}">
              <a16:creationId xmlns:a16="http://schemas.microsoft.com/office/drawing/2014/main" id="{08FB0464-6134-41D9-88B9-2A9A1DC0F898}"/>
            </a:ext>
          </a:extLst>
        </xdr:cNvPr>
        <xdr:cNvCxnSpPr/>
      </xdr:nvCxnSpPr>
      <xdr:spPr>
        <a:xfrm>
          <a:off x="8818790" y="1428750"/>
          <a:ext cx="2041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122465</xdr:colOff>
      <xdr:row>7</xdr:row>
      <xdr:rowOff>19050</xdr:rowOff>
    </xdr:from>
    <xdr:to>
      <xdr:col>30</xdr:col>
      <xdr:colOff>0</xdr:colOff>
      <xdr:row>7</xdr:row>
      <xdr:rowOff>133350</xdr:rowOff>
    </xdr:to>
    <xdr:sp macro="" textlink="">
      <xdr:nvSpPr>
        <xdr:cNvPr id="24466" name="직사각형 24465">
          <a:extLst>
            <a:ext uri="{FF2B5EF4-FFF2-40B4-BE49-F238E27FC236}">
              <a16:creationId xmlns:a16="http://schemas.microsoft.com/office/drawing/2014/main" id="{6542DEF6-4809-4EE3-8C72-E14360914465}"/>
            </a:ext>
          </a:extLst>
        </xdr:cNvPr>
        <xdr:cNvSpPr/>
      </xdr:nvSpPr>
      <xdr:spPr>
        <a:xfrm>
          <a:off x="8675915" y="1219200"/>
          <a:ext cx="163285"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28</xdr:col>
      <xdr:colOff>122465</xdr:colOff>
      <xdr:row>7</xdr:row>
      <xdr:rowOff>76200</xdr:rowOff>
    </xdr:from>
    <xdr:to>
      <xdr:col>30</xdr:col>
      <xdr:colOff>0</xdr:colOff>
      <xdr:row>7</xdr:row>
      <xdr:rowOff>76200</xdr:rowOff>
    </xdr:to>
    <xdr:cxnSp macro="">
      <xdr:nvCxnSpPr>
        <xdr:cNvPr id="24467" name="직선 화살표 연결선 24466">
          <a:extLst>
            <a:ext uri="{FF2B5EF4-FFF2-40B4-BE49-F238E27FC236}">
              <a16:creationId xmlns:a16="http://schemas.microsoft.com/office/drawing/2014/main" id="{DFFA751A-0D53-436A-839B-4DCA30F2B6B7}"/>
            </a:ext>
          </a:extLst>
        </xdr:cNvPr>
        <xdr:cNvCxnSpPr/>
      </xdr:nvCxnSpPr>
      <xdr:spPr>
        <a:xfrm>
          <a:off x="8675915" y="1276350"/>
          <a:ext cx="163285"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122465</xdr:colOff>
      <xdr:row>6</xdr:row>
      <xdr:rowOff>19050</xdr:rowOff>
    </xdr:from>
    <xdr:to>
      <xdr:col>29</xdr:col>
      <xdr:colOff>0</xdr:colOff>
      <xdr:row>6</xdr:row>
      <xdr:rowOff>133350</xdr:rowOff>
    </xdr:to>
    <xdr:sp macro="" textlink="">
      <xdr:nvSpPr>
        <xdr:cNvPr id="24468" name="직사각형 24467">
          <a:extLst>
            <a:ext uri="{FF2B5EF4-FFF2-40B4-BE49-F238E27FC236}">
              <a16:creationId xmlns:a16="http://schemas.microsoft.com/office/drawing/2014/main" id="{BB10BB54-8F35-4143-9A3D-3DF0B87458EC}"/>
            </a:ext>
          </a:extLst>
        </xdr:cNvPr>
        <xdr:cNvSpPr/>
      </xdr:nvSpPr>
      <xdr:spPr>
        <a:xfrm>
          <a:off x="8675915" y="1066800"/>
          <a:ext cx="2041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28</xdr:col>
      <xdr:colOff>122465</xdr:colOff>
      <xdr:row>6</xdr:row>
      <xdr:rowOff>76200</xdr:rowOff>
    </xdr:from>
    <xdr:to>
      <xdr:col>29</xdr:col>
      <xdr:colOff>0</xdr:colOff>
      <xdr:row>6</xdr:row>
      <xdr:rowOff>76200</xdr:rowOff>
    </xdr:to>
    <xdr:cxnSp macro="">
      <xdr:nvCxnSpPr>
        <xdr:cNvPr id="24469" name="직선 화살표 연결선 24468">
          <a:extLst>
            <a:ext uri="{FF2B5EF4-FFF2-40B4-BE49-F238E27FC236}">
              <a16:creationId xmlns:a16="http://schemas.microsoft.com/office/drawing/2014/main" id="{93B9C37F-E203-496D-BC26-5237CBA856DB}"/>
            </a:ext>
          </a:extLst>
        </xdr:cNvPr>
        <xdr:cNvCxnSpPr/>
      </xdr:nvCxnSpPr>
      <xdr:spPr>
        <a:xfrm>
          <a:off x="8675915" y="1123950"/>
          <a:ext cx="2041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122465</xdr:colOff>
      <xdr:row>5</xdr:row>
      <xdr:rowOff>19050</xdr:rowOff>
    </xdr:from>
    <xdr:to>
      <xdr:col>30</xdr:col>
      <xdr:colOff>0</xdr:colOff>
      <xdr:row>5</xdr:row>
      <xdr:rowOff>133350</xdr:rowOff>
    </xdr:to>
    <xdr:sp macro="" textlink="">
      <xdr:nvSpPr>
        <xdr:cNvPr id="24470" name="직사각형 24469">
          <a:extLst>
            <a:ext uri="{FF2B5EF4-FFF2-40B4-BE49-F238E27FC236}">
              <a16:creationId xmlns:a16="http://schemas.microsoft.com/office/drawing/2014/main" id="{1891DA3B-1580-4479-89B1-942CB07EB2DF}"/>
            </a:ext>
          </a:extLst>
        </xdr:cNvPr>
        <xdr:cNvSpPr/>
      </xdr:nvSpPr>
      <xdr:spPr>
        <a:xfrm>
          <a:off x="8675915" y="914400"/>
          <a:ext cx="163285"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28</xdr:col>
      <xdr:colOff>122465</xdr:colOff>
      <xdr:row>5</xdr:row>
      <xdr:rowOff>76200</xdr:rowOff>
    </xdr:from>
    <xdr:to>
      <xdr:col>30</xdr:col>
      <xdr:colOff>0</xdr:colOff>
      <xdr:row>5</xdr:row>
      <xdr:rowOff>76200</xdr:rowOff>
    </xdr:to>
    <xdr:cxnSp macro="">
      <xdr:nvCxnSpPr>
        <xdr:cNvPr id="24471" name="직선 화살표 연결선 24470">
          <a:extLst>
            <a:ext uri="{FF2B5EF4-FFF2-40B4-BE49-F238E27FC236}">
              <a16:creationId xmlns:a16="http://schemas.microsoft.com/office/drawing/2014/main" id="{885894F2-DB55-41AA-8344-A77790645165}"/>
            </a:ext>
          </a:extLst>
        </xdr:cNvPr>
        <xdr:cNvCxnSpPr/>
      </xdr:nvCxnSpPr>
      <xdr:spPr>
        <a:xfrm>
          <a:off x="8675915" y="971550"/>
          <a:ext cx="163285"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122465</xdr:colOff>
      <xdr:row>4</xdr:row>
      <xdr:rowOff>19050</xdr:rowOff>
    </xdr:from>
    <xdr:to>
      <xdr:col>43</xdr:col>
      <xdr:colOff>0</xdr:colOff>
      <xdr:row>4</xdr:row>
      <xdr:rowOff>133350</xdr:rowOff>
    </xdr:to>
    <xdr:sp macro="" textlink="">
      <xdr:nvSpPr>
        <xdr:cNvPr id="24472" name="직사각형 24471">
          <a:extLst>
            <a:ext uri="{FF2B5EF4-FFF2-40B4-BE49-F238E27FC236}">
              <a16:creationId xmlns:a16="http://schemas.microsoft.com/office/drawing/2014/main" id="{7143482D-2748-407B-9C41-208D37044EF3}"/>
            </a:ext>
          </a:extLst>
        </xdr:cNvPr>
        <xdr:cNvSpPr/>
      </xdr:nvSpPr>
      <xdr:spPr>
        <a:xfrm>
          <a:off x="8675915" y="762000"/>
          <a:ext cx="202066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28</xdr:col>
      <xdr:colOff>122465</xdr:colOff>
      <xdr:row>4</xdr:row>
      <xdr:rowOff>76200</xdr:rowOff>
    </xdr:from>
    <xdr:to>
      <xdr:col>38</xdr:col>
      <xdr:colOff>40822</xdr:colOff>
      <xdr:row>4</xdr:row>
      <xdr:rowOff>76200</xdr:rowOff>
    </xdr:to>
    <xdr:cxnSp macro="">
      <xdr:nvCxnSpPr>
        <xdr:cNvPr id="24473" name="직선 화살표 연결선 24472">
          <a:extLst>
            <a:ext uri="{FF2B5EF4-FFF2-40B4-BE49-F238E27FC236}">
              <a16:creationId xmlns:a16="http://schemas.microsoft.com/office/drawing/2014/main" id="{6FB54B26-127B-43DF-9417-3E61E761E45A}"/>
            </a:ext>
          </a:extLst>
        </xdr:cNvPr>
        <xdr:cNvCxnSpPr/>
      </xdr:nvCxnSpPr>
      <xdr:spPr>
        <a:xfrm>
          <a:off x="8675915" y="819150"/>
          <a:ext cx="1347107"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2.xml><?xml version="1.0" encoding="utf-8"?>
<xdr:wsDr xmlns:xdr="http://schemas.openxmlformats.org/drawingml/2006/spreadsheetDrawing" xmlns:a="http://schemas.openxmlformats.org/drawingml/2006/main">
  <xdr:twoCellAnchor>
    <xdr:from>
      <xdr:col>6</xdr:col>
      <xdr:colOff>173831</xdr:colOff>
      <xdr:row>5</xdr:row>
      <xdr:rowOff>0</xdr:rowOff>
    </xdr:from>
    <xdr:to>
      <xdr:col>12</xdr:col>
      <xdr:colOff>573881</xdr:colOff>
      <xdr:row>18</xdr:row>
      <xdr:rowOff>76200</xdr:rowOff>
    </xdr:to>
    <xdr:graphicFrame macro="">
      <xdr:nvGraphicFramePr>
        <xdr:cNvPr id="2" name="차트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thjung\Desktop\&#50641;&#49472;&#51089;&#50629;\@&#50641;&#49472;&#51068;&#51221;&#44288;&#47532;\@XLGantt\XLGantt.&#44060;&#48156;&#48376;\backup\XLGantt_v1.1.0_20170503.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chedule"/>
      <sheetName val="Progress"/>
      <sheetName val="AnalysisReport"/>
      <sheetName val="Calendar"/>
      <sheetName val="Workload"/>
      <sheetName val="Settings"/>
      <sheetName val="TranslatedLanguages"/>
    </sheetNames>
    <sheetDataSet>
      <sheetData sheetId="0"/>
      <sheetData sheetId="1">
        <row r="18">
          <cell r="B18">
            <v>0.21794871794871795</v>
          </cell>
        </row>
        <row r="21">
          <cell r="B21">
            <v>0.15480769230769229</v>
          </cell>
        </row>
      </sheetData>
      <sheetData sheetId="2"/>
      <sheetData sheetId="3">
        <row r="5">
          <cell r="B5">
            <v>42370</v>
          </cell>
        </row>
        <row r="6">
          <cell r="B6">
            <v>42371</v>
          </cell>
        </row>
        <row r="7">
          <cell r="B7">
            <v>42372</v>
          </cell>
        </row>
        <row r="8">
          <cell r="B8">
            <v>42378</v>
          </cell>
        </row>
        <row r="9">
          <cell r="B9">
            <v>42379</v>
          </cell>
        </row>
        <row r="10">
          <cell r="B10">
            <v>42385</v>
          </cell>
        </row>
        <row r="11">
          <cell r="B11">
            <v>42386</v>
          </cell>
        </row>
        <row r="12">
          <cell r="B12">
            <v>42392</v>
          </cell>
        </row>
        <row r="13">
          <cell r="B13">
            <v>42393</v>
          </cell>
        </row>
        <row r="14">
          <cell r="B14">
            <v>42399</v>
          </cell>
        </row>
        <row r="15">
          <cell r="B15">
            <v>42400</v>
          </cell>
        </row>
        <row r="16">
          <cell r="B16">
            <v>42406</v>
          </cell>
        </row>
        <row r="17">
          <cell r="B17">
            <v>42407</v>
          </cell>
        </row>
        <row r="18">
          <cell r="B18">
            <v>42408</v>
          </cell>
        </row>
        <row r="19">
          <cell r="B19">
            <v>42409</v>
          </cell>
        </row>
        <row r="20">
          <cell r="B20">
            <v>42410</v>
          </cell>
        </row>
        <row r="21">
          <cell r="B21">
            <v>42413</v>
          </cell>
        </row>
        <row r="22">
          <cell r="B22">
            <v>42414</v>
          </cell>
        </row>
        <row r="23">
          <cell r="B23">
            <v>42420</v>
          </cell>
        </row>
        <row r="24">
          <cell r="B24">
            <v>42421</v>
          </cell>
        </row>
        <row r="25">
          <cell r="B25">
            <v>42427</v>
          </cell>
        </row>
        <row r="26">
          <cell r="B26">
            <v>42428</v>
          </cell>
        </row>
        <row r="27">
          <cell r="B27">
            <v>42430</v>
          </cell>
        </row>
        <row r="28">
          <cell r="B28">
            <v>42434</v>
          </cell>
        </row>
        <row r="29">
          <cell r="B29">
            <v>42435</v>
          </cell>
        </row>
        <row r="30">
          <cell r="B30">
            <v>42441</v>
          </cell>
        </row>
        <row r="31">
          <cell r="B31">
            <v>42442</v>
          </cell>
        </row>
        <row r="32">
          <cell r="B32">
            <v>42448</v>
          </cell>
        </row>
        <row r="33">
          <cell r="B33">
            <v>42449</v>
          </cell>
        </row>
        <row r="34">
          <cell r="B34">
            <v>42455</v>
          </cell>
        </row>
        <row r="35">
          <cell r="B35">
            <v>42456</v>
          </cell>
        </row>
        <row r="36">
          <cell r="B36">
            <v>42462</v>
          </cell>
        </row>
        <row r="37">
          <cell r="B37">
            <v>42463</v>
          </cell>
        </row>
        <row r="38">
          <cell r="B38">
            <v>42469</v>
          </cell>
        </row>
        <row r="39">
          <cell r="B39">
            <v>42470</v>
          </cell>
        </row>
        <row r="40">
          <cell r="B40">
            <v>42473</v>
          </cell>
        </row>
        <row r="41">
          <cell r="B41">
            <v>42476</v>
          </cell>
        </row>
        <row r="42">
          <cell r="B42">
            <v>42477</v>
          </cell>
        </row>
        <row r="43">
          <cell r="B43">
            <v>42483</v>
          </cell>
        </row>
        <row r="44">
          <cell r="B44">
            <v>42484</v>
          </cell>
        </row>
        <row r="45">
          <cell r="B45">
            <v>42490</v>
          </cell>
        </row>
        <row r="46">
          <cell r="B46">
            <v>42491</v>
          </cell>
        </row>
        <row r="47">
          <cell r="B47">
            <v>42495</v>
          </cell>
        </row>
        <row r="48">
          <cell r="B48">
            <v>42497</v>
          </cell>
        </row>
        <row r="49">
          <cell r="B49">
            <v>42498</v>
          </cell>
        </row>
        <row r="50">
          <cell r="B50">
            <v>42504</v>
          </cell>
        </row>
        <row r="51">
          <cell r="B51">
            <v>42505</v>
          </cell>
        </row>
        <row r="52">
          <cell r="B52">
            <v>42511</v>
          </cell>
        </row>
        <row r="53">
          <cell r="B53">
            <v>42512</v>
          </cell>
        </row>
        <row r="54">
          <cell r="B54">
            <v>42518</v>
          </cell>
        </row>
        <row r="55">
          <cell r="B55">
            <v>42519</v>
          </cell>
        </row>
        <row r="56">
          <cell r="B56">
            <v>42525</v>
          </cell>
        </row>
        <row r="57">
          <cell r="B57">
            <v>42526</v>
          </cell>
        </row>
        <row r="58">
          <cell r="B58">
            <v>42527</v>
          </cell>
        </row>
        <row r="59">
          <cell r="B59">
            <v>42532</v>
          </cell>
        </row>
        <row r="60">
          <cell r="B60">
            <v>42533</v>
          </cell>
        </row>
        <row r="61">
          <cell r="B61">
            <v>42539</v>
          </cell>
        </row>
        <row r="62">
          <cell r="B62">
            <v>42540</v>
          </cell>
        </row>
        <row r="63">
          <cell r="B63">
            <v>42546</v>
          </cell>
        </row>
        <row r="64">
          <cell r="B64">
            <v>42547</v>
          </cell>
        </row>
        <row r="65">
          <cell r="B65">
            <v>42553</v>
          </cell>
        </row>
        <row r="66">
          <cell r="B66">
            <v>42554</v>
          </cell>
        </row>
        <row r="67">
          <cell r="B67">
            <v>42560</v>
          </cell>
        </row>
        <row r="68">
          <cell r="B68">
            <v>42561</v>
          </cell>
        </row>
        <row r="69">
          <cell r="B69">
            <v>42567</v>
          </cell>
        </row>
        <row r="70">
          <cell r="B70">
            <v>42568</v>
          </cell>
        </row>
        <row r="71">
          <cell r="B71">
            <v>42574</v>
          </cell>
        </row>
        <row r="72">
          <cell r="B72">
            <v>42575</v>
          </cell>
        </row>
        <row r="73">
          <cell r="B73">
            <v>42581</v>
          </cell>
        </row>
        <row r="74">
          <cell r="B74">
            <v>42582</v>
          </cell>
        </row>
        <row r="75">
          <cell r="B75">
            <v>42588</v>
          </cell>
        </row>
        <row r="76">
          <cell r="B76">
            <v>42589</v>
          </cell>
        </row>
        <row r="77">
          <cell r="B77">
            <v>42595</v>
          </cell>
        </row>
        <row r="78">
          <cell r="B78">
            <v>42596</v>
          </cell>
        </row>
        <row r="79">
          <cell r="B79">
            <v>42597</v>
          </cell>
        </row>
        <row r="80">
          <cell r="B80">
            <v>42602</v>
          </cell>
        </row>
        <row r="81">
          <cell r="B81">
            <v>42603</v>
          </cell>
        </row>
        <row r="82">
          <cell r="B82">
            <v>42609</v>
          </cell>
        </row>
        <row r="83">
          <cell r="B83">
            <v>42610</v>
          </cell>
        </row>
        <row r="84">
          <cell r="B84">
            <v>42616</v>
          </cell>
        </row>
        <row r="85">
          <cell r="B85">
            <v>42617</v>
          </cell>
        </row>
        <row r="86">
          <cell r="B86">
            <v>42623</v>
          </cell>
        </row>
        <row r="87">
          <cell r="B87">
            <v>42624</v>
          </cell>
        </row>
        <row r="88">
          <cell r="B88">
            <v>42627</v>
          </cell>
        </row>
        <row r="89">
          <cell r="B89">
            <v>42628</v>
          </cell>
        </row>
        <row r="90">
          <cell r="B90">
            <v>42629</v>
          </cell>
        </row>
        <row r="91">
          <cell r="B91">
            <v>42630</v>
          </cell>
        </row>
        <row r="92">
          <cell r="B92">
            <v>42631</v>
          </cell>
        </row>
        <row r="93">
          <cell r="B93">
            <v>42637</v>
          </cell>
        </row>
        <row r="94">
          <cell r="B94">
            <v>42638</v>
          </cell>
        </row>
        <row r="95">
          <cell r="B95">
            <v>42644</v>
          </cell>
        </row>
        <row r="96">
          <cell r="B96">
            <v>42645</v>
          </cell>
        </row>
        <row r="97">
          <cell r="B97">
            <v>42646</v>
          </cell>
        </row>
        <row r="98">
          <cell r="B98">
            <v>42651</v>
          </cell>
        </row>
        <row r="99">
          <cell r="B99">
            <v>42652</v>
          </cell>
        </row>
        <row r="100">
          <cell r="B100">
            <v>42658</v>
          </cell>
        </row>
        <row r="101">
          <cell r="B101">
            <v>42659</v>
          </cell>
        </row>
        <row r="102">
          <cell r="B102">
            <v>42665</v>
          </cell>
        </row>
        <row r="103">
          <cell r="B103">
            <v>42666</v>
          </cell>
        </row>
        <row r="104">
          <cell r="B104">
            <v>42672</v>
          </cell>
        </row>
        <row r="105">
          <cell r="B105">
            <v>42673</v>
          </cell>
        </row>
        <row r="106">
          <cell r="B106">
            <v>42679</v>
          </cell>
        </row>
        <row r="107">
          <cell r="B107">
            <v>42680</v>
          </cell>
        </row>
        <row r="108">
          <cell r="B108">
            <v>42686</v>
          </cell>
        </row>
        <row r="109">
          <cell r="B109">
            <v>42687</v>
          </cell>
        </row>
        <row r="110">
          <cell r="B110">
            <v>42693</v>
          </cell>
        </row>
        <row r="111">
          <cell r="B111">
            <v>42694</v>
          </cell>
        </row>
        <row r="112">
          <cell r="B112">
            <v>42700</v>
          </cell>
        </row>
        <row r="113">
          <cell r="B113">
            <v>42701</v>
          </cell>
        </row>
        <row r="114">
          <cell r="B114">
            <v>42707</v>
          </cell>
        </row>
        <row r="115">
          <cell r="B115">
            <v>42708</v>
          </cell>
        </row>
        <row r="116">
          <cell r="B116">
            <v>42714</v>
          </cell>
        </row>
        <row r="117">
          <cell r="B117">
            <v>42715</v>
          </cell>
        </row>
        <row r="118">
          <cell r="B118">
            <v>42721</v>
          </cell>
        </row>
        <row r="119">
          <cell r="B119">
            <v>42722</v>
          </cell>
        </row>
        <row r="120">
          <cell r="B120">
            <v>42728</v>
          </cell>
        </row>
        <row r="121">
          <cell r="B121">
            <v>42729</v>
          </cell>
        </row>
        <row r="122">
          <cell r="B122">
            <v>42735</v>
          </cell>
        </row>
        <row r="123">
          <cell r="B123">
            <v>42736</v>
          </cell>
        </row>
        <row r="124">
          <cell r="B124">
            <v>42742</v>
          </cell>
        </row>
        <row r="125">
          <cell r="B125">
            <v>42743</v>
          </cell>
        </row>
        <row r="126">
          <cell r="B126">
            <v>42749</v>
          </cell>
        </row>
        <row r="127">
          <cell r="B127">
            <v>42750</v>
          </cell>
        </row>
        <row r="128">
          <cell r="B128">
            <v>42756</v>
          </cell>
        </row>
        <row r="129">
          <cell r="B129">
            <v>42757</v>
          </cell>
        </row>
        <row r="130">
          <cell r="B130">
            <v>42762</v>
          </cell>
        </row>
        <row r="131">
          <cell r="B131">
            <v>42763</v>
          </cell>
        </row>
        <row r="132">
          <cell r="B132">
            <v>42764</v>
          </cell>
        </row>
        <row r="133">
          <cell r="B133">
            <v>42765</v>
          </cell>
        </row>
        <row r="134">
          <cell r="B134">
            <v>42770</v>
          </cell>
        </row>
        <row r="135">
          <cell r="B135">
            <v>42771</v>
          </cell>
        </row>
        <row r="136">
          <cell r="B136">
            <v>42777</v>
          </cell>
        </row>
        <row r="137">
          <cell r="B137">
            <v>42778</v>
          </cell>
        </row>
        <row r="138">
          <cell r="B138">
            <v>42784</v>
          </cell>
        </row>
        <row r="139">
          <cell r="B139">
            <v>42785</v>
          </cell>
        </row>
        <row r="140">
          <cell r="B140">
            <v>42791</v>
          </cell>
        </row>
        <row r="141">
          <cell r="B141">
            <v>42792</v>
          </cell>
        </row>
        <row r="142">
          <cell r="B142">
            <v>42795</v>
          </cell>
        </row>
        <row r="143">
          <cell r="B143">
            <v>42798</v>
          </cell>
        </row>
        <row r="144">
          <cell r="B144">
            <v>42799</v>
          </cell>
        </row>
        <row r="145">
          <cell r="B145">
            <v>42805</v>
          </cell>
        </row>
        <row r="146">
          <cell r="B146">
            <v>42806</v>
          </cell>
        </row>
        <row r="147">
          <cell r="B147">
            <v>42812</v>
          </cell>
        </row>
        <row r="148">
          <cell r="B148">
            <v>42813</v>
          </cell>
        </row>
        <row r="149">
          <cell r="B149">
            <v>42819</v>
          </cell>
        </row>
        <row r="150">
          <cell r="B150">
            <v>42820</v>
          </cell>
        </row>
        <row r="151">
          <cell r="B151">
            <v>42826</v>
          </cell>
        </row>
        <row r="152">
          <cell r="B152">
            <v>42827</v>
          </cell>
        </row>
        <row r="153">
          <cell r="B153">
            <v>42833</v>
          </cell>
        </row>
        <row r="154">
          <cell r="B154">
            <v>42834</v>
          </cell>
        </row>
        <row r="155">
          <cell r="B155">
            <v>42840</v>
          </cell>
        </row>
        <row r="156">
          <cell r="B156">
            <v>42841</v>
          </cell>
        </row>
        <row r="157">
          <cell r="B157">
            <v>42847</v>
          </cell>
        </row>
        <row r="158">
          <cell r="B158">
            <v>42848</v>
          </cell>
        </row>
        <row r="159">
          <cell r="B159">
            <v>42854</v>
          </cell>
        </row>
        <row r="160">
          <cell r="B160">
            <v>42855</v>
          </cell>
        </row>
        <row r="161">
          <cell r="B161">
            <v>42858</v>
          </cell>
        </row>
        <row r="162">
          <cell r="B162">
            <v>42860</v>
          </cell>
        </row>
        <row r="163">
          <cell r="B163">
            <v>42861</v>
          </cell>
        </row>
        <row r="164">
          <cell r="B164">
            <v>42862</v>
          </cell>
        </row>
        <row r="165">
          <cell r="B165">
            <v>42864</v>
          </cell>
        </row>
        <row r="166">
          <cell r="B166">
            <v>42868</v>
          </cell>
        </row>
        <row r="167">
          <cell r="B167">
            <v>42869</v>
          </cell>
        </row>
        <row r="168">
          <cell r="B168">
            <v>42875</v>
          </cell>
        </row>
        <row r="169">
          <cell r="B169">
            <v>42876</v>
          </cell>
        </row>
        <row r="170">
          <cell r="B170">
            <v>42882</v>
          </cell>
        </row>
        <row r="171">
          <cell r="B171">
            <v>42883</v>
          </cell>
        </row>
        <row r="172">
          <cell r="B172">
            <v>42889</v>
          </cell>
        </row>
        <row r="173">
          <cell r="B173">
            <v>42890</v>
          </cell>
        </row>
        <row r="174">
          <cell r="B174">
            <v>42892</v>
          </cell>
        </row>
        <row r="175">
          <cell r="B175">
            <v>42896</v>
          </cell>
        </row>
        <row r="176">
          <cell r="B176">
            <v>42897</v>
          </cell>
        </row>
        <row r="177">
          <cell r="B177">
            <v>42903</v>
          </cell>
        </row>
        <row r="178">
          <cell r="B178">
            <v>42904</v>
          </cell>
        </row>
        <row r="179">
          <cell r="B179">
            <v>42910</v>
          </cell>
        </row>
        <row r="180">
          <cell r="B180">
            <v>42911</v>
          </cell>
        </row>
        <row r="181">
          <cell r="B181">
            <v>42917</v>
          </cell>
        </row>
        <row r="182">
          <cell r="B182">
            <v>42918</v>
          </cell>
        </row>
        <row r="183">
          <cell r="B183">
            <v>42924</v>
          </cell>
        </row>
        <row r="184">
          <cell r="B184">
            <v>42925</v>
          </cell>
        </row>
        <row r="185">
          <cell r="B185">
            <v>42931</v>
          </cell>
        </row>
        <row r="186">
          <cell r="B186">
            <v>42932</v>
          </cell>
        </row>
        <row r="187">
          <cell r="B187">
            <v>42938</v>
          </cell>
        </row>
        <row r="188">
          <cell r="B188">
            <v>42939</v>
          </cell>
        </row>
        <row r="189">
          <cell r="B189">
            <v>42945</v>
          </cell>
        </row>
        <row r="190">
          <cell r="B190">
            <v>42946</v>
          </cell>
        </row>
        <row r="191">
          <cell r="B191">
            <v>42952</v>
          </cell>
        </row>
        <row r="192">
          <cell r="B192">
            <v>42953</v>
          </cell>
        </row>
        <row r="193">
          <cell r="B193">
            <v>42959</v>
          </cell>
        </row>
        <row r="194">
          <cell r="B194">
            <v>42960</v>
          </cell>
        </row>
        <row r="195">
          <cell r="B195">
            <v>42962</v>
          </cell>
        </row>
        <row r="196">
          <cell r="B196">
            <v>42966</v>
          </cell>
        </row>
        <row r="197">
          <cell r="B197">
            <v>42967</v>
          </cell>
        </row>
        <row r="198">
          <cell r="B198">
            <v>42973</v>
          </cell>
        </row>
        <row r="199">
          <cell r="B199">
            <v>42974</v>
          </cell>
        </row>
        <row r="200">
          <cell r="B200">
            <v>42980</v>
          </cell>
        </row>
        <row r="201">
          <cell r="B201">
            <v>42981</v>
          </cell>
        </row>
        <row r="202">
          <cell r="B202">
            <v>42987</v>
          </cell>
        </row>
        <row r="203">
          <cell r="B203">
            <v>42988</v>
          </cell>
        </row>
        <row r="204">
          <cell r="B204">
            <v>42994</v>
          </cell>
        </row>
        <row r="205">
          <cell r="B205">
            <v>42995</v>
          </cell>
        </row>
        <row r="206">
          <cell r="B206">
            <v>43001</v>
          </cell>
        </row>
        <row r="207">
          <cell r="B207">
            <v>43002</v>
          </cell>
        </row>
        <row r="208">
          <cell r="B208">
            <v>43008</v>
          </cell>
        </row>
        <row r="209">
          <cell r="B209">
            <v>43009</v>
          </cell>
        </row>
        <row r="210">
          <cell r="B210">
            <v>43011</v>
          </cell>
        </row>
        <row r="211">
          <cell r="B211">
            <v>43012</v>
          </cell>
        </row>
        <row r="212">
          <cell r="B212">
            <v>43013</v>
          </cell>
        </row>
        <row r="213">
          <cell r="B213">
            <v>43014</v>
          </cell>
        </row>
        <row r="214">
          <cell r="B214">
            <v>43015</v>
          </cell>
        </row>
        <row r="215">
          <cell r="B215">
            <v>43016</v>
          </cell>
        </row>
        <row r="216">
          <cell r="B216">
            <v>43017</v>
          </cell>
        </row>
        <row r="217">
          <cell r="B217">
            <v>43022</v>
          </cell>
        </row>
        <row r="218">
          <cell r="B218">
            <v>43023</v>
          </cell>
        </row>
        <row r="219">
          <cell r="B219">
            <v>43029</v>
          </cell>
        </row>
        <row r="220">
          <cell r="B220">
            <v>43030</v>
          </cell>
        </row>
        <row r="221">
          <cell r="B221">
            <v>43036</v>
          </cell>
        </row>
        <row r="222">
          <cell r="B222">
            <v>43037</v>
          </cell>
        </row>
        <row r="223">
          <cell r="B223">
            <v>43043</v>
          </cell>
        </row>
        <row r="224">
          <cell r="B224">
            <v>43044</v>
          </cell>
        </row>
        <row r="225">
          <cell r="B225">
            <v>43050</v>
          </cell>
        </row>
        <row r="226">
          <cell r="B226">
            <v>43051</v>
          </cell>
        </row>
        <row r="227">
          <cell r="B227">
            <v>43057</v>
          </cell>
        </row>
        <row r="228">
          <cell r="B228">
            <v>43058</v>
          </cell>
        </row>
        <row r="229">
          <cell r="B229">
            <v>43064</v>
          </cell>
        </row>
        <row r="230">
          <cell r="B230">
            <v>43065</v>
          </cell>
        </row>
        <row r="231">
          <cell r="B231">
            <v>43071</v>
          </cell>
        </row>
        <row r="232">
          <cell r="B232">
            <v>43072</v>
          </cell>
        </row>
        <row r="233">
          <cell r="B233">
            <v>43078</v>
          </cell>
        </row>
        <row r="234">
          <cell r="B234">
            <v>43079</v>
          </cell>
        </row>
        <row r="235">
          <cell r="B235">
            <v>43085</v>
          </cell>
        </row>
        <row r="236">
          <cell r="B236">
            <v>43086</v>
          </cell>
        </row>
        <row r="237">
          <cell r="B237">
            <v>43092</v>
          </cell>
        </row>
        <row r="238">
          <cell r="B238">
            <v>43093</v>
          </cell>
        </row>
        <row r="239">
          <cell r="B239">
            <v>43094</v>
          </cell>
        </row>
        <row r="240">
          <cell r="B240">
            <v>43099</v>
          </cell>
        </row>
        <row r="241">
          <cell r="B241">
            <v>43100</v>
          </cell>
        </row>
      </sheetData>
      <sheetData sheetId="4"/>
      <sheetData sheetId="5"/>
      <sheetData sheetId="6"/>
    </sheetDataSet>
  </externalBook>
</externalLink>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4.bin"/><Relationship Id="rId1" Type="http://schemas.openxmlformats.org/officeDocument/2006/relationships/hyperlink" Target="http://xlworks.net/" TargetMode="Externa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BL15"/>
  <sheetViews>
    <sheetView zoomScale="115" zoomScaleNormal="115" workbookViewId="0">
      <selection activeCell="B19" sqref="B19"/>
    </sheetView>
  </sheetViews>
  <sheetFormatPr defaultColWidth="10" defaultRowHeight="12.75"/>
  <cols>
    <col min="1" max="1" width="28.25" style="102" bestFit="1" customWidth="1"/>
    <col min="2" max="2" width="23.125" style="99" bestFit="1" customWidth="1"/>
    <col min="3" max="3" width="21.75" style="99" customWidth="1"/>
    <col min="4" max="4" width="27.375" style="99" bestFit="1" customWidth="1"/>
    <col min="5" max="5" width="12.875" style="99" bestFit="1" customWidth="1"/>
    <col min="6" max="6" width="17.75" style="99" bestFit="1" customWidth="1"/>
    <col min="7" max="7" width="21.875" style="102" bestFit="1" customWidth="1"/>
    <col min="8" max="8" width="23.75" style="102" bestFit="1" customWidth="1"/>
    <col min="9" max="9" width="9.75" style="102" bestFit="1" customWidth="1"/>
    <col min="10" max="10" width="25.125" style="102" bestFit="1" customWidth="1"/>
    <col min="11" max="11" width="4.875" style="102" bestFit="1" customWidth="1"/>
    <col min="12" max="12" width="25.125" style="102" bestFit="1" customWidth="1"/>
    <col min="13" max="13" width="4.875" style="102" bestFit="1" customWidth="1"/>
    <col min="14" max="14" width="23" style="102" bestFit="1" customWidth="1"/>
    <col min="15" max="15" width="14.5" style="102" customWidth="1"/>
    <col min="16" max="16" width="28.375" style="102" bestFit="1" customWidth="1"/>
    <col min="17" max="17" width="9.5" style="102" bestFit="1" customWidth="1"/>
    <col min="18" max="18" width="27.75" style="102" bestFit="1" customWidth="1"/>
    <col min="19" max="19" width="4.875" style="102" bestFit="1" customWidth="1"/>
    <col min="20" max="20" width="25" style="102" bestFit="1" customWidth="1"/>
    <col min="21" max="21" width="4.375" style="102" bestFit="1" customWidth="1"/>
    <col min="22" max="22" width="23" style="102" bestFit="1" customWidth="1"/>
    <col min="23" max="23" width="8.125" style="102" bestFit="1" customWidth="1"/>
    <col min="24" max="24" width="22.625" style="102" bestFit="1" customWidth="1"/>
    <col min="25" max="25" width="9.5" style="102" bestFit="1" customWidth="1"/>
    <col min="26" max="26" width="26.25" style="102" bestFit="1" customWidth="1"/>
    <col min="27" max="27" width="7.875" style="102" bestFit="1" customWidth="1"/>
    <col min="28" max="28" width="21.25" style="102" bestFit="1" customWidth="1"/>
    <col min="29" max="29" width="15.625" style="102" bestFit="1" customWidth="1"/>
    <col min="30" max="30" width="23.5" style="102" bestFit="1" customWidth="1"/>
    <col min="31" max="31" width="15.25" style="102" bestFit="1" customWidth="1"/>
    <col min="32" max="32" width="22.625" style="102" bestFit="1" customWidth="1"/>
    <col min="33" max="33" width="60.875" style="102" bestFit="1" customWidth="1"/>
    <col min="34" max="34" width="28.375" style="102" bestFit="1" customWidth="1"/>
    <col min="35" max="35" width="11.5" style="102" bestFit="1" customWidth="1"/>
    <col min="36" max="36" width="25.125" style="102" bestFit="1" customWidth="1"/>
    <col min="37" max="37" width="4" style="102" bestFit="1" customWidth="1"/>
    <col min="38" max="38" width="14.875" style="102" bestFit="1" customWidth="1"/>
    <col min="39" max="39" width="11.625" style="102" bestFit="1" customWidth="1"/>
    <col min="40" max="40" width="22.625" style="102" bestFit="1" customWidth="1"/>
    <col min="41" max="41" width="5.875" style="102" bestFit="1" customWidth="1"/>
    <col min="42" max="42" width="15.875" style="102" bestFit="1" customWidth="1"/>
    <col min="43" max="43" width="6.375" style="102" bestFit="1" customWidth="1"/>
    <col min="44" max="44" width="13.25" style="102" bestFit="1" customWidth="1"/>
    <col min="45" max="45" width="3.25" style="102" bestFit="1" customWidth="1"/>
    <col min="46" max="46" width="14.875" style="102" bestFit="1" customWidth="1"/>
    <col min="47" max="47" width="28.625" style="102" bestFit="1" customWidth="1"/>
    <col min="48" max="48" width="22.625" style="102" bestFit="1" customWidth="1"/>
    <col min="49" max="49" width="5.375" style="102" bestFit="1" customWidth="1"/>
    <col min="50" max="50" width="15.875" style="102" bestFit="1" customWidth="1"/>
    <col min="51" max="51" width="10" style="102"/>
    <col min="52" max="52" width="13.25" style="102" bestFit="1" customWidth="1"/>
    <col min="53" max="53" width="10" style="102"/>
    <col min="54" max="54" width="14.875" style="102" bestFit="1" customWidth="1"/>
    <col min="55" max="55" width="10" style="102"/>
    <col min="56" max="56" width="22.625" style="102" bestFit="1" customWidth="1"/>
    <col min="57" max="57" width="10" style="102"/>
    <col min="58" max="58" width="15.875" style="102" bestFit="1" customWidth="1"/>
    <col min="59" max="59" width="10" style="102"/>
    <col min="60" max="60" width="13.25" style="102" bestFit="1" customWidth="1"/>
    <col min="61" max="61" width="10" style="102"/>
    <col min="62" max="62" width="14.875" style="102" bestFit="1" customWidth="1"/>
    <col min="63" max="63" width="10" style="102"/>
    <col min="64" max="64" width="22.625" style="102" bestFit="1" customWidth="1"/>
    <col min="65" max="65" width="10" style="102"/>
    <col min="66" max="66" width="33.75" style="102" bestFit="1" customWidth="1"/>
    <col min="67" max="16384" width="10" style="102"/>
  </cols>
  <sheetData>
    <row r="1" spans="1:64" s="99" customFormat="1">
      <c r="A1" s="98" t="s">
        <v>5</v>
      </c>
      <c r="B1" s="98" t="s">
        <v>6</v>
      </c>
      <c r="C1" s="98" t="s">
        <v>7</v>
      </c>
      <c r="D1" s="98" t="s">
        <v>8</v>
      </c>
      <c r="E1" s="98" t="s">
        <v>9</v>
      </c>
      <c r="F1" s="98" t="s">
        <v>10</v>
      </c>
    </row>
    <row r="2" spans="1:64">
      <c r="A2" s="100" t="s">
        <v>11</v>
      </c>
      <c r="B2" s="101" t="s">
        <v>12</v>
      </c>
      <c r="C2" s="101"/>
      <c r="D2" s="101"/>
      <c r="E2" s="101" t="s">
        <v>13</v>
      </c>
      <c r="F2" s="101"/>
    </row>
    <row r="3" spans="1:64">
      <c r="A3" s="100" t="s">
        <v>399</v>
      </c>
      <c r="B3" s="101" t="s">
        <v>12</v>
      </c>
      <c r="C3" s="101"/>
      <c r="D3" s="101"/>
      <c r="E3" s="101" t="s">
        <v>13</v>
      </c>
      <c r="F3" s="101"/>
    </row>
    <row r="4" spans="1:64">
      <c r="A4" s="100" t="s">
        <v>14</v>
      </c>
      <c r="B4" s="111" t="s">
        <v>400</v>
      </c>
      <c r="C4" s="101"/>
      <c r="D4" s="101"/>
      <c r="E4" s="101" t="s">
        <v>13</v>
      </c>
      <c r="F4" s="101"/>
    </row>
    <row r="5" spans="1:64">
      <c r="A5" s="100" t="s">
        <v>15</v>
      </c>
      <c r="B5" s="101" t="s">
        <v>16</v>
      </c>
      <c r="C5" s="101"/>
      <c r="D5" s="101"/>
      <c r="E5" s="101" t="s">
        <v>13</v>
      </c>
      <c r="F5" s="101"/>
    </row>
    <row r="6" spans="1:64">
      <c r="A6" s="100" t="s">
        <v>17</v>
      </c>
      <c r="B6" s="111" t="s">
        <v>18</v>
      </c>
      <c r="C6" s="101"/>
      <c r="D6" s="101"/>
      <c r="E6" s="101" t="s">
        <v>13</v>
      </c>
      <c r="F6" s="101"/>
    </row>
    <row r="7" spans="1:64">
      <c r="A7" s="100" t="s">
        <v>19</v>
      </c>
      <c r="B7" s="100" t="s">
        <v>12</v>
      </c>
      <c r="C7" s="101"/>
      <c r="D7" s="101"/>
      <c r="E7" s="101" t="s">
        <v>13</v>
      </c>
      <c r="F7" s="101"/>
    </row>
    <row r="8" spans="1:64">
      <c r="A8" s="100" t="s">
        <v>20</v>
      </c>
      <c r="B8" s="103" t="s">
        <v>992</v>
      </c>
      <c r="C8" s="101" t="s">
        <v>1142</v>
      </c>
      <c r="D8" s="101">
        <v>82</v>
      </c>
      <c r="E8" s="101" t="s">
        <v>21</v>
      </c>
      <c r="F8" s="101"/>
    </row>
    <row r="9" spans="1:64">
      <c r="A9" s="100" t="s">
        <v>22</v>
      </c>
      <c r="B9" s="104">
        <v>43387</v>
      </c>
      <c r="C9" s="101"/>
      <c r="D9" s="101"/>
      <c r="E9" s="101" t="s">
        <v>13</v>
      </c>
      <c r="F9" s="101"/>
    </row>
    <row r="10" spans="1:64">
      <c r="A10" s="105" t="s">
        <v>23</v>
      </c>
      <c r="B10" s="106" t="s">
        <v>24</v>
      </c>
      <c r="C10" s="106"/>
      <c r="D10" s="106"/>
      <c r="E10" s="106" t="s">
        <v>13</v>
      </c>
      <c r="F10" s="106"/>
    </row>
    <row r="11" spans="1:64">
      <c r="A11" s="102" t="s">
        <v>401</v>
      </c>
      <c r="B11" s="107" t="s">
        <v>25</v>
      </c>
      <c r="C11" s="99" t="s">
        <v>1188</v>
      </c>
      <c r="D11" s="99" t="s">
        <v>26</v>
      </c>
      <c r="E11" s="108">
        <v>1</v>
      </c>
      <c r="F11" s="109" t="s">
        <v>27</v>
      </c>
      <c r="G11" s="110">
        <v>44394</v>
      </c>
      <c r="H11" s="109" t="s">
        <v>28</v>
      </c>
      <c r="I11" s="110">
        <v>44492</v>
      </c>
      <c r="J11" s="102" t="s">
        <v>418</v>
      </c>
      <c r="K11" s="102" t="s">
        <v>1166</v>
      </c>
      <c r="L11" s="102" t="s">
        <v>415</v>
      </c>
      <c r="M11" s="102">
        <v>1</v>
      </c>
      <c r="N11" s="107" t="s">
        <v>29</v>
      </c>
      <c r="O11" s="99">
        <v>0</v>
      </c>
      <c r="P11" s="99" t="s">
        <v>30</v>
      </c>
      <c r="Q11" s="107" t="s">
        <v>1133</v>
      </c>
      <c r="R11" s="102" t="s">
        <v>420</v>
      </c>
      <c r="S11" s="102">
        <v>1</v>
      </c>
      <c r="T11" s="102" t="s">
        <v>425</v>
      </c>
      <c r="U11" s="102">
        <v>1</v>
      </c>
      <c r="V11" s="102" t="s">
        <v>426</v>
      </c>
      <c r="W11" s="102">
        <v>0</v>
      </c>
      <c r="X11" s="102" t="s">
        <v>430</v>
      </c>
      <c r="Y11" s="102">
        <v>3</v>
      </c>
    </row>
    <row r="12" spans="1:64">
      <c r="A12" s="102" t="s">
        <v>404</v>
      </c>
      <c r="B12" s="102" t="s">
        <v>405</v>
      </c>
      <c r="C12" s="102">
        <v>1</v>
      </c>
      <c r="D12" s="102" t="s">
        <v>406</v>
      </c>
      <c r="E12" s="102">
        <v>1</v>
      </c>
      <c r="F12" s="102" t="s">
        <v>407</v>
      </c>
      <c r="G12" s="102">
        <v>0</v>
      </c>
      <c r="H12" s="102" t="s">
        <v>408</v>
      </c>
      <c r="I12" s="102">
        <v>1</v>
      </c>
      <c r="J12" s="102" t="s">
        <v>409</v>
      </c>
      <c r="K12" s="102">
        <v>0.7</v>
      </c>
      <c r="L12" s="102" t="s">
        <v>410</v>
      </c>
      <c r="M12" s="102">
        <v>2</v>
      </c>
      <c r="N12" s="102" t="s">
        <v>411</v>
      </c>
      <c r="O12" s="102">
        <v>1</v>
      </c>
      <c r="P12" s="102" t="s">
        <v>414</v>
      </c>
      <c r="Q12" s="102">
        <v>1</v>
      </c>
      <c r="R12" s="102" t="s">
        <v>421</v>
      </c>
      <c r="S12" s="102">
        <v>7</v>
      </c>
      <c r="T12" s="102" t="s">
        <v>422</v>
      </c>
      <c r="U12" s="102">
        <v>0</v>
      </c>
      <c r="V12" s="102" t="s">
        <v>423</v>
      </c>
      <c r="W12" s="102">
        <v>100</v>
      </c>
      <c r="X12" s="102" t="s">
        <v>424</v>
      </c>
      <c r="Y12" s="102">
        <v>0</v>
      </c>
      <c r="Z12" s="102" t="s">
        <v>428</v>
      </c>
      <c r="AA12" s="102">
        <v>1</v>
      </c>
      <c r="AB12" s="102" t="s">
        <v>429</v>
      </c>
      <c r="AC12" s="102">
        <v>1</v>
      </c>
      <c r="AD12" s="102" t="s">
        <v>988</v>
      </c>
      <c r="AE12" s="102">
        <v>1</v>
      </c>
    </row>
    <row r="13" spans="1:64">
      <c r="A13" s="101" t="s">
        <v>402</v>
      </c>
      <c r="B13" s="107" t="s">
        <v>31</v>
      </c>
      <c r="C13" s="99">
        <v>1</v>
      </c>
      <c r="D13" s="107" t="s">
        <v>32</v>
      </c>
      <c r="E13" s="99" t="s">
        <v>1134</v>
      </c>
      <c r="F13" s="99" t="s">
        <v>33</v>
      </c>
      <c r="G13" s="109" t="s">
        <v>1054</v>
      </c>
      <c r="H13" s="109" t="s">
        <v>34</v>
      </c>
      <c r="I13" s="102" t="s">
        <v>1054</v>
      </c>
    </row>
    <row r="14" spans="1:64">
      <c r="A14" s="101" t="s">
        <v>403</v>
      </c>
      <c r="B14" s="108" t="s">
        <v>35</v>
      </c>
      <c r="C14" s="108" t="s">
        <v>1149</v>
      </c>
      <c r="D14" s="108" t="s">
        <v>36</v>
      </c>
      <c r="E14" s="108" t="s">
        <v>1150</v>
      </c>
      <c r="F14" s="108" t="s">
        <v>37</v>
      </c>
      <c r="G14" s="108" t="s">
        <v>1126</v>
      </c>
      <c r="H14" s="108" t="s">
        <v>38</v>
      </c>
      <c r="I14" s="108" t="b">
        <v>0</v>
      </c>
      <c r="J14" s="108" t="s">
        <v>39</v>
      </c>
      <c r="K14" s="108" t="s">
        <v>1151</v>
      </c>
      <c r="L14" s="108" t="s">
        <v>40</v>
      </c>
      <c r="M14" s="108" t="s">
        <v>1127</v>
      </c>
      <c r="N14" s="108" t="s">
        <v>41</v>
      </c>
      <c r="O14" s="108" t="s">
        <v>1126</v>
      </c>
      <c r="P14" s="108" t="s">
        <v>42</v>
      </c>
      <c r="Q14" s="108" t="b">
        <v>0</v>
      </c>
      <c r="R14" s="108" t="s">
        <v>43</v>
      </c>
      <c r="S14" s="108" t="s">
        <v>1152</v>
      </c>
      <c r="T14" s="108" t="s">
        <v>44</v>
      </c>
      <c r="U14" s="108" t="s">
        <v>1153</v>
      </c>
      <c r="V14" s="108" t="s">
        <v>45</v>
      </c>
      <c r="W14" s="108" t="s">
        <v>1126</v>
      </c>
      <c r="X14" s="108" t="s">
        <v>46</v>
      </c>
      <c r="Y14" s="108" t="b">
        <v>1</v>
      </c>
      <c r="Z14" s="108" t="s">
        <v>47</v>
      </c>
      <c r="AA14" s="108" t="s">
        <v>1128</v>
      </c>
      <c r="AB14" s="108" t="s">
        <v>48</v>
      </c>
      <c r="AC14" s="108" t="s">
        <v>1154</v>
      </c>
      <c r="AD14" s="108" t="s">
        <v>49</v>
      </c>
      <c r="AE14" s="108" t="s">
        <v>1155</v>
      </c>
      <c r="AF14" s="108" t="s">
        <v>50</v>
      </c>
      <c r="AG14" s="108" t="b">
        <v>1</v>
      </c>
      <c r="AH14" s="108" t="s">
        <v>51</v>
      </c>
      <c r="AI14" s="108" t="s">
        <v>1135</v>
      </c>
      <c r="AJ14" s="108" t="s">
        <v>52</v>
      </c>
      <c r="AK14" s="108" t="s">
        <v>1090</v>
      </c>
      <c r="AL14" s="108" t="s">
        <v>53</v>
      </c>
      <c r="AM14" s="108" t="s">
        <v>1156</v>
      </c>
      <c r="AN14" s="108" t="s">
        <v>54</v>
      </c>
      <c r="AO14" s="108" t="b">
        <v>0</v>
      </c>
      <c r="AP14" s="108" t="s">
        <v>55</v>
      </c>
      <c r="AQ14" s="108" t="s">
        <v>1088</v>
      </c>
      <c r="AR14" s="108" t="s">
        <v>56</v>
      </c>
      <c r="AS14" s="108" t="s">
        <v>1091</v>
      </c>
      <c r="AT14" s="108" t="s">
        <v>57</v>
      </c>
      <c r="AU14" s="108" t="s">
        <v>1136</v>
      </c>
      <c r="AV14" s="108" t="s">
        <v>58</v>
      </c>
      <c r="AW14" s="108" t="b">
        <v>1</v>
      </c>
      <c r="AX14" s="102" t="s">
        <v>59</v>
      </c>
      <c r="AZ14" s="102" t="s">
        <v>60</v>
      </c>
      <c r="BB14" s="102" t="s">
        <v>61</v>
      </c>
      <c r="BD14" s="102" t="s">
        <v>62</v>
      </c>
      <c r="BF14" s="102" t="s">
        <v>63</v>
      </c>
      <c r="BH14" s="102" t="s">
        <v>64</v>
      </c>
      <c r="BJ14" s="102" t="s">
        <v>65</v>
      </c>
      <c r="BL14" s="102" t="s">
        <v>66</v>
      </c>
    </row>
    <row r="15" spans="1:64">
      <c r="A15" s="101" t="s">
        <v>419</v>
      </c>
      <c r="B15" s="102" t="s">
        <v>412</v>
      </c>
      <c r="C15" s="102">
        <v>0</v>
      </c>
      <c r="D15" s="102" t="s">
        <v>413</v>
      </c>
      <c r="E15" s="102">
        <v>1</v>
      </c>
      <c r="F15" s="102" t="s">
        <v>416</v>
      </c>
      <c r="G15" s="102" t="s">
        <v>1093</v>
      </c>
      <c r="H15" s="102" t="s">
        <v>417</v>
      </c>
      <c r="I15" s="102">
        <v>82</v>
      </c>
    </row>
  </sheetData>
  <phoneticPr fontId="2" type="noConversion"/>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dimension ref="A1:F435"/>
  <sheetViews>
    <sheetView zoomScaleNormal="100" workbookViewId="0">
      <pane ySplit="1" topLeftCell="A103" activePane="bottomLeft" state="frozen"/>
      <selection pane="bottomLeft" activeCell="D116" sqref="D116"/>
    </sheetView>
  </sheetViews>
  <sheetFormatPr defaultColWidth="73.375" defaultRowHeight="12"/>
  <cols>
    <col min="1" max="1" width="7.625" style="126" bestFit="1" customWidth="1"/>
    <col min="2" max="2" width="8.375" style="139" bestFit="1" customWidth="1"/>
    <col min="3" max="3" width="15.75" style="136" customWidth="1"/>
    <col min="4" max="4" width="60.625" style="127" customWidth="1"/>
    <col min="5" max="5" width="60.625" style="140" customWidth="1"/>
    <col min="6" max="16384" width="73.375" style="126"/>
  </cols>
  <sheetData>
    <row r="1" spans="1:5" s="124" customFormat="1" ht="24.75" customHeight="1">
      <c r="A1" s="124" t="s">
        <v>934</v>
      </c>
      <c r="B1" s="124" t="s">
        <v>935</v>
      </c>
      <c r="C1" s="125" t="s">
        <v>936</v>
      </c>
      <c r="D1" s="125" t="s">
        <v>67</v>
      </c>
      <c r="E1" s="125" t="s">
        <v>68</v>
      </c>
    </row>
    <row r="2" spans="1:5" ht="60">
      <c r="A2" s="126" t="s">
        <v>1129</v>
      </c>
      <c r="B2" s="139">
        <v>1</v>
      </c>
      <c r="D2" s="127" t="s">
        <v>937</v>
      </c>
      <c r="E2" s="140" t="s">
        <v>611</v>
      </c>
    </row>
    <row r="3" spans="1:5" ht="112.5" customHeight="1">
      <c r="A3" s="128">
        <v>450</v>
      </c>
      <c r="B3" s="139">
        <v>2</v>
      </c>
      <c r="D3" s="127" t="s">
        <v>537</v>
      </c>
      <c r="E3" s="140" t="s">
        <v>938</v>
      </c>
    </row>
    <row r="4" spans="1:5" ht="48">
      <c r="B4" s="139">
        <v>3</v>
      </c>
      <c r="D4" s="127" t="s">
        <v>939</v>
      </c>
      <c r="E4" s="140" t="s">
        <v>612</v>
      </c>
    </row>
    <row r="5" spans="1:5" ht="48">
      <c r="B5" s="139">
        <v>4</v>
      </c>
      <c r="D5" s="127" t="s">
        <v>940</v>
      </c>
      <c r="E5" s="140" t="s">
        <v>613</v>
      </c>
    </row>
    <row r="6" spans="1:5" ht="60">
      <c r="B6" s="139">
        <v>5</v>
      </c>
      <c r="D6" s="127" t="s">
        <v>941</v>
      </c>
      <c r="E6" s="140" t="s">
        <v>614</v>
      </c>
    </row>
    <row r="7" spans="1:5" ht="36">
      <c r="B7" s="139">
        <v>6</v>
      </c>
      <c r="D7" s="127" t="s">
        <v>942</v>
      </c>
      <c r="E7" s="140" t="s">
        <v>615</v>
      </c>
    </row>
    <row r="8" spans="1:5">
      <c r="B8" s="139">
        <v>7</v>
      </c>
      <c r="D8" s="127" t="s">
        <v>928</v>
      </c>
      <c r="E8" s="140" t="s">
        <v>943</v>
      </c>
    </row>
    <row r="9" spans="1:5">
      <c r="B9" s="139">
        <v>101</v>
      </c>
      <c r="D9" s="127" t="s">
        <v>69</v>
      </c>
      <c r="E9" s="140" t="s">
        <v>616</v>
      </c>
    </row>
    <row r="10" spans="1:5">
      <c r="B10" s="139">
        <v>102</v>
      </c>
      <c r="D10" s="127" t="s">
        <v>70</v>
      </c>
      <c r="E10" s="140" t="s">
        <v>617</v>
      </c>
    </row>
    <row r="11" spans="1:5">
      <c r="B11" s="139">
        <v>103</v>
      </c>
      <c r="D11" s="127" t="s">
        <v>71</v>
      </c>
      <c r="E11" s="140" t="s">
        <v>618</v>
      </c>
    </row>
    <row r="12" spans="1:5">
      <c r="B12" s="139">
        <v>104</v>
      </c>
      <c r="D12" s="127" t="s">
        <v>72</v>
      </c>
      <c r="E12" s="140" t="s">
        <v>619</v>
      </c>
    </row>
    <row r="13" spans="1:5">
      <c r="B13" s="139">
        <v>105</v>
      </c>
      <c r="D13" s="127" t="s">
        <v>73</v>
      </c>
      <c r="E13" s="140" t="s">
        <v>620</v>
      </c>
    </row>
    <row r="14" spans="1:5">
      <c r="B14" s="139">
        <v>106</v>
      </c>
      <c r="D14" s="127" t="s">
        <v>455</v>
      </c>
      <c r="E14" s="140" t="s">
        <v>621</v>
      </c>
    </row>
    <row r="15" spans="1:5" ht="36">
      <c r="B15" s="139">
        <v>107</v>
      </c>
      <c r="D15" s="127" t="s">
        <v>456</v>
      </c>
      <c r="E15" s="140" t="s">
        <v>622</v>
      </c>
    </row>
    <row r="16" spans="1:5" ht="36">
      <c r="B16" s="139">
        <v>108</v>
      </c>
      <c r="D16" s="127" t="s">
        <v>457</v>
      </c>
      <c r="E16" s="140" t="s">
        <v>623</v>
      </c>
    </row>
    <row r="17" spans="1:6">
      <c r="B17" s="139">
        <v>109</v>
      </c>
      <c r="D17" s="127" t="s">
        <v>74</v>
      </c>
      <c r="E17" s="140" t="s">
        <v>541</v>
      </c>
    </row>
    <row r="18" spans="1:6">
      <c r="B18" s="139">
        <v>110</v>
      </c>
      <c r="D18" s="127" t="s">
        <v>75</v>
      </c>
      <c r="E18" s="140" t="s">
        <v>624</v>
      </c>
    </row>
    <row r="19" spans="1:6">
      <c r="B19" s="139">
        <v>111</v>
      </c>
      <c r="D19" s="127" t="s">
        <v>76</v>
      </c>
      <c r="E19" s="140" t="s">
        <v>625</v>
      </c>
    </row>
    <row r="20" spans="1:6">
      <c r="A20" s="129"/>
      <c r="B20" s="139">
        <v>112</v>
      </c>
      <c r="C20" s="138" t="s">
        <v>944</v>
      </c>
      <c r="D20" s="128" t="s">
        <v>945</v>
      </c>
      <c r="E20" s="128" t="s">
        <v>539</v>
      </c>
      <c r="F20" s="130"/>
    </row>
    <row r="21" spans="1:6">
      <c r="B21" s="139">
        <v>113</v>
      </c>
      <c r="D21" s="127" t="s">
        <v>77</v>
      </c>
      <c r="E21" s="140" t="s">
        <v>542</v>
      </c>
    </row>
    <row r="22" spans="1:6">
      <c r="B22" s="139">
        <v>114</v>
      </c>
      <c r="D22" s="127" t="s">
        <v>78</v>
      </c>
      <c r="E22" s="140" t="s">
        <v>626</v>
      </c>
    </row>
    <row r="23" spans="1:6">
      <c r="B23" s="139">
        <v>115</v>
      </c>
      <c r="D23" s="127" t="s">
        <v>79</v>
      </c>
      <c r="E23" s="140" t="s">
        <v>627</v>
      </c>
    </row>
    <row r="24" spans="1:6" ht="24">
      <c r="B24" s="139">
        <v>116</v>
      </c>
      <c r="D24" s="127" t="s">
        <v>458</v>
      </c>
      <c r="E24" s="140" t="s">
        <v>628</v>
      </c>
    </row>
    <row r="25" spans="1:6">
      <c r="B25" s="139">
        <v>117</v>
      </c>
      <c r="D25" s="127" t="s">
        <v>459</v>
      </c>
      <c r="E25" s="140" t="s">
        <v>629</v>
      </c>
    </row>
    <row r="26" spans="1:6" ht="24">
      <c r="B26" s="139">
        <v>118</v>
      </c>
      <c r="D26" s="127" t="s">
        <v>80</v>
      </c>
      <c r="E26" s="140" t="s">
        <v>630</v>
      </c>
    </row>
    <row r="27" spans="1:6">
      <c r="B27" s="139">
        <v>119</v>
      </c>
      <c r="D27" s="127" t="s">
        <v>81</v>
      </c>
      <c r="E27" s="140" t="s">
        <v>631</v>
      </c>
    </row>
    <row r="28" spans="1:6">
      <c r="B28" s="139">
        <v>120</v>
      </c>
      <c r="D28" s="127" t="s">
        <v>453</v>
      </c>
      <c r="E28" s="140" t="s">
        <v>632</v>
      </c>
    </row>
    <row r="29" spans="1:6">
      <c r="B29" s="139">
        <v>121</v>
      </c>
      <c r="D29" s="127" t="s">
        <v>82</v>
      </c>
      <c r="E29" s="140" t="s">
        <v>633</v>
      </c>
    </row>
    <row r="30" spans="1:6">
      <c r="B30" s="139">
        <v>122</v>
      </c>
      <c r="D30" s="127" t="s">
        <v>83</v>
      </c>
      <c r="E30" s="140" t="s">
        <v>634</v>
      </c>
    </row>
    <row r="31" spans="1:6">
      <c r="B31" s="139">
        <v>123</v>
      </c>
      <c r="D31" s="127" t="s">
        <v>84</v>
      </c>
      <c r="E31" s="140" t="s">
        <v>635</v>
      </c>
    </row>
    <row r="32" spans="1:6">
      <c r="B32" s="139">
        <v>124</v>
      </c>
      <c r="D32" s="127" t="s">
        <v>85</v>
      </c>
      <c r="E32" s="140" t="s">
        <v>636</v>
      </c>
    </row>
    <row r="33" spans="2:5" ht="24">
      <c r="B33" s="139">
        <v>125</v>
      </c>
      <c r="D33" s="127" t="s">
        <v>454</v>
      </c>
      <c r="E33" s="140" t="s">
        <v>637</v>
      </c>
    </row>
    <row r="34" spans="2:5">
      <c r="B34" s="139">
        <v>126</v>
      </c>
      <c r="D34" s="127" t="s">
        <v>86</v>
      </c>
      <c r="E34" s="140" t="s">
        <v>638</v>
      </c>
    </row>
    <row r="35" spans="2:5">
      <c r="B35" s="139">
        <v>127</v>
      </c>
      <c r="D35" s="127" t="s">
        <v>87</v>
      </c>
      <c r="E35" s="140" t="s">
        <v>639</v>
      </c>
    </row>
    <row r="36" spans="2:5">
      <c r="B36" s="139">
        <v>128</v>
      </c>
      <c r="D36" s="127" t="s">
        <v>460</v>
      </c>
      <c r="E36" s="140" t="s">
        <v>640</v>
      </c>
    </row>
    <row r="37" spans="2:5">
      <c r="B37" s="139">
        <v>129</v>
      </c>
      <c r="D37" s="127" t="s">
        <v>88</v>
      </c>
      <c r="E37" s="140" t="s">
        <v>641</v>
      </c>
    </row>
    <row r="38" spans="2:5">
      <c r="B38" s="139">
        <v>130</v>
      </c>
      <c r="D38" s="127" t="s">
        <v>89</v>
      </c>
      <c r="E38" s="140" t="s">
        <v>543</v>
      </c>
    </row>
    <row r="39" spans="2:5">
      <c r="B39" s="139">
        <v>131</v>
      </c>
      <c r="D39" s="127" t="s">
        <v>90</v>
      </c>
      <c r="E39" s="140" t="s">
        <v>544</v>
      </c>
    </row>
    <row r="40" spans="2:5">
      <c r="B40" s="139">
        <v>132</v>
      </c>
      <c r="D40" s="132" t="s">
        <v>461</v>
      </c>
      <c r="E40" s="133">
        <v>43435</v>
      </c>
    </row>
    <row r="41" spans="2:5">
      <c r="B41" s="139">
        <v>133</v>
      </c>
      <c r="D41" s="132" t="s">
        <v>461</v>
      </c>
      <c r="E41" s="133">
        <v>43435</v>
      </c>
    </row>
    <row r="42" spans="2:5">
      <c r="B42" s="139">
        <v>134</v>
      </c>
      <c r="D42" s="132" t="s">
        <v>462</v>
      </c>
      <c r="E42" s="133">
        <v>43465</v>
      </c>
    </row>
    <row r="43" spans="2:5">
      <c r="B43" s="139">
        <v>135</v>
      </c>
      <c r="D43" s="132" t="s">
        <v>462</v>
      </c>
      <c r="E43" s="133">
        <v>43465</v>
      </c>
    </row>
    <row r="44" spans="2:5">
      <c r="B44" s="139">
        <v>136</v>
      </c>
      <c r="D44" s="127" t="s">
        <v>91</v>
      </c>
      <c r="E44" s="140" t="s">
        <v>91</v>
      </c>
    </row>
    <row r="45" spans="2:5">
      <c r="B45" s="139">
        <v>137</v>
      </c>
      <c r="D45" s="127" t="s">
        <v>92</v>
      </c>
      <c r="E45" s="140" t="s">
        <v>642</v>
      </c>
    </row>
    <row r="46" spans="2:5">
      <c r="B46" s="139">
        <v>138</v>
      </c>
      <c r="C46" s="136" t="s">
        <v>946</v>
      </c>
      <c r="D46" s="127" t="s">
        <v>947</v>
      </c>
      <c r="E46" s="166" t="s">
        <v>948</v>
      </c>
    </row>
    <row r="47" spans="2:5">
      <c r="B47" s="139">
        <v>139</v>
      </c>
      <c r="D47" s="127" t="s">
        <v>93</v>
      </c>
      <c r="E47" s="140" t="s">
        <v>643</v>
      </c>
    </row>
    <row r="48" spans="2:5">
      <c r="B48" s="139">
        <v>140</v>
      </c>
      <c r="D48" s="127" t="s">
        <v>94</v>
      </c>
      <c r="E48" s="140" t="s">
        <v>644</v>
      </c>
    </row>
    <row r="49" spans="1:6">
      <c r="B49" s="139">
        <v>141</v>
      </c>
      <c r="D49" s="127" t="s">
        <v>463</v>
      </c>
      <c r="E49" s="140" t="s">
        <v>545</v>
      </c>
    </row>
    <row r="50" spans="1:6">
      <c r="B50" s="139">
        <v>142</v>
      </c>
      <c r="D50" s="127" t="s">
        <v>95</v>
      </c>
      <c r="E50" s="140" t="s">
        <v>546</v>
      </c>
    </row>
    <row r="51" spans="1:6">
      <c r="B51" s="139">
        <v>143</v>
      </c>
      <c r="D51" s="127" t="s">
        <v>96</v>
      </c>
      <c r="E51" s="140" t="s">
        <v>645</v>
      </c>
    </row>
    <row r="52" spans="1:6">
      <c r="B52" s="139">
        <v>144</v>
      </c>
      <c r="D52" s="127" t="s">
        <v>97</v>
      </c>
      <c r="E52" s="140" t="s">
        <v>646</v>
      </c>
    </row>
    <row r="53" spans="1:6" ht="24">
      <c r="B53" s="139">
        <v>145</v>
      </c>
      <c r="D53" s="127" t="s">
        <v>98</v>
      </c>
      <c r="E53" s="140" t="s">
        <v>647</v>
      </c>
    </row>
    <row r="54" spans="1:6">
      <c r="B54" s="139">
        <v>146</v>
      </c>
      <c r="D54" s="127" t="s">
        <v>99</v>
      </c>
      <c r="E54" s="140" t="s">
        <v>648</v>
      </c>
    </row>
    <row r="55" spans="1:6">
      <c r="B55" s="139">
        <v>147</v>
      </c>
      <c r="D55" s="127" t="s">
        <v>464</v>
      </c>
      <c r="E55" s="140" t="s">
        <v>547</v>
      </c>
    </row>
    <row r="56" spans="1:6">
      <c r="B56" s="139">
        <v>148</v>
      </c>
      <c r="D56" s="127" t="s">
        <v>100</v>
      </c>
      <c r="E56" s="140" t="s">
        <v>548</v>
      </c>
    </row>
    <row r="57" spans="1:6">
      <c r="B57" s="139">
        <v>149</v>
      </c>
      <c r="D57" s="127" t="s">
        <v>101</v>
      </c>
      <c r="E57" s="140" t="s">
        <v>649</v>
      </c>
    </row>
    <row r="58" spans="1:6">
      <c r="B58" s="139">
        <v>150</v>
      </c>
      <c r="D58" s="127" t="s">
        <v>102</v>
      </c>
      <c r="E58" s="140" t="s">
        <v>650</v>
      </c>
    </row>
    <row r="59" spans="1:6" ht="24">
      <c r="B59" s="139">
        <v>151</v>
      </c>
      <c r="D59" s="127" t="s">
        <v>103</v>
      </c>
      <c r="E59" s="140" t="s">
        <v>651</v>
      </c>
    </row>
    <row r="60" spans="1:6">
      <c r="B60" s="139">
        <v>152</v>
      </c>
      <c r="D60" s="127" t="s">
        <v>465</v>
      </c>
      <c r="E60" s="140" t="s">
        <v>652</v>
      </c>
    </row>
    <row r="61" spans="1:6">
      <c r="A61" s="131"/>
      <c r="B61" s="139">
        <v>153</v>
      </c>
      <c r="C61" s="138" t="s">
        <v>532</v>
      </c>
      <c r="D61" s="128" t="s">
        <v>949</v>
      </c>
      <c r="E61" s="128" t="s">
        <v>950</v>
      </c>
      <c r="F61" s="130"/>
    </row>
    <row r="62" spans="1:6" ht="12.75">
      <c r="B62" s="139">
        <v>154</v>
      </c>
      <c r="D62" s="127" t="s">
        <v>104</v>
      </c>
      <c r="E62" s="168" t="s">
        <v>932</v>
      </c>
    </row>
    <row r="63" spans="1:6" ht="12.75">
      <c r="B63" s="139">
        <v>155</v>
      </c>
      <c r="D63" s="127" t="s">
        <v>105</v>
      </c>
      <c r="E63" s="168" t="s">
        <v>951</v>
      </c>
    </row>
    <row r="64" spans="1:6">
      <c r="A64" s="131"/>
      <c r="B64" s="139">
        <v>156</v>
      </c>
      <c r="C64" s="138" t="s">
        <v>952</v>
      </c>
      <c r="D64" s="128" t="s">
        <v>953</v>
      </c>
      <c r="E64" s="128" t="s">
        <v>954</v>
      </c>
      <c r="F64" s="130"/>
    </row>
    <row r="65" spans="1:6">
      <c r="A65" s="131"/>
      <c r="B65" s="139">
        <v>157</v>
      </c>
      <c r="C65" s="138" t="s">
        <v>532</v>
      </c>
      <c r="D65" s="128" t="s">
        <v>955</v>
      </c>
      <c r="E65" s="128" t="s">
        <v>956</v>
      </c>
      <c r="F65" s="130"/>
    </row>
    <row r="66" spans="1:6">
      <c r="A66" s="131"/>
      <c r="B66" s="139">
        <v>158</v>
      </c>
      <c r="C66" s="138" t="s">
        <v>532</v>
      </c>
      <c r="D66" s="128" t="s">
        <v>957</v>
      </c>
      <c r="E66" s="128" t="s">
        <v>958</v>
      </c>
      <c r="F66" s="130"/>
    </row>
    <row r="67" spans="1:6">
      <c r="A67" s="131"/>
      <c r="B67" s="139">
        <v>159</v>
      </c>
      <c r="C67" s="138" t="s">
        <v>952</v>
      </c>
      <c r="D67" s="128" t="s">
        <v>929</v>
      </c>
      <c r="E67" s="128" t="s">
        <v>959</v>
      </c>
      <c r="F67" s="130"/>
    </row>
    <row r="68" spans="1:6">
      <c r="B68" s="139">
        <v>160</v>
      </c>
      <c r="D68" s="127" t="s">
        <v>106</v>
      </c>
      <c r="E68" s="140" t="s">
        <v>960</v>
      </c>
    </row>
    <row r="69" spans="1:6">
      <c r="B69" s="139">
        <v>161</v>
      </c>
      <c r="D69" s="127" t="s">
        <v>107</v>
      </c>
      <c r="E69" s="140" t="s">
        <v>961</v>
      </c>
    </row>
    <row r="70" spans="1:6">
      <c r="B70" s="139">
        <v>162</v>
      </c>
      <c r="D70" s="127" t="s">
        <v>962</v>
      </c>
      <c r="E70" s="140" t="s">
        <v>930</v>
      </c>
    </row>
    <row r="71" spans="1:6">
      <c r="B71" s="139">
        <v>163</v>
      </c>
      <c r="D71" s="127" t="s">
        <v>108</v>
      </c>
      <c r="E71" s="140" t="s">
        <v>963</v>
      </c>
    </row>
    <row r="72" spans="1:6">
      <c r="B72" s="139">
        <v>164</v>
      </c>
      <c r="D72" s="127" t="s">
        <v>109</v>
      </c>
      <c r="E72" s="140" t="s">
        <v>653</v>
      </c>
    </row>
    <row r="73" spans="1:6">
      <c r="B73" s="139">
        <v>165</v>
      </c>
      <c r="D73" s="127" t="s">
        <v>110</v>
      </c>
      <c r="E73" s="140" t="s">
        <v>654</v>
      </c>
    </row>
    <row r="74" spans="1:6">
      <c r="B74" s="139">
        <v>166</v>
      </c>
      <c r="D74" s="127" t="s">
        <v>111</v>
      </c>
      <c r="E74" s="140" t="s">
        <v>655</v>
      </c>
    </row>
    <row r="75" spans="1:6" ht="24">
      <c r="B75" s="139">
        <v>167</v>
      </c>
      <c r="D75" s="127" t="s">
        <v>112</v>
      </c>
      <c r="E75" s="140" t="s">
        <v>656</v>
      </c>
    </row>
    <row r="76" spans="1:6">
      <c r="B76" s="139">
        <v>168</v>
      </c>
      <c r="D76" s="127" t="s">
        <v>113</v>
      </c>
      <c r="E76" s="140" t="s">
        <v>657</v>
      </c>
    </row>
    <row r="77" spans="1:6">
      <c r="B77" s="139">
        <v>169</v>
      </c>
      <c r="D77" s="127" t="s">
        <v>114</v>
      </c>
      <c r="E77" s="140" t="s">
        <v>658</v>
      </c>
    </row>
    <row r="78" spans="1:6">
      <c r="B78" s="139">
        <v>170</v>
      </c>
      <c r="D78" s="127" t="s">
        <v>115</v>
      </c>
      <c r="E78" s="140" t="s">
        <v>659</v>
      </c>
    </row>
    <row r="79" spans="1:6">
      <c r="B79" s="139">
        <v>171</v>
      </c>
      <c r="D79" s="127" t="s">
        <v>466</v>
      </c>
      <c r="E79" s="140" t="s">
        <v>660</v>
      </c>
    </row>
    <row r="80" spans="1:6">
      <c r="B80" s="139">
        <v>172</v>
      </c>
      <c r="D80" s="127" t="s">
        <v>116</v>
      </c>
      <c r="E80" s="140" t="s">
        <v>661</v>
      </c>
    </row>
    <row r="81" spans="2:5">
      <c r="B81" s="139">
        <v>173</v>
      </c>
      <c r="D81" s="127" t="s">
        <v>117</v>
      </c>
      <c r="E81" s="140" t="s">
        <v>662</v>
      </c>
    </row>
    <row r="82" spans="2:5">
      <c r="B82" s="139">
        <v>174</v>
      </c>
      <c r="D82" s="127" t="s">
        <v>118</v>
      </c>
      <c r="E82" s="140" t="s">
        <v>663</v>
      </c>
    </row>
    <row r="83" spans="2:5">
      <c r="B83" s="139">
        <v>175</v>
      </c>
      <c r="D83" s="127" t="s">
        <v>119</v>
      </c>
      <c r="E83" s="140" t="s">
        <v>664</v>
      </c>
    </row>
    <row r="84" spans="2:5">
      <c r="B84" s="139">
        <v>176</v>
      </c>
      <c r="D84" s="127" t="s">
        <v>120</v>
      </c>
      <c r="E84" s="140" t="s">
        <v>665</v>
      </c>
    </row>
    <row r="85" spans="2:5">
      <c r="B85" s="139">
        <v>177</v>
      </c>
      <c r="D85" s="127" t="s">
        <v>121</v>
      </c>
      <c r="E85" s="140" t="s">
        <v>549</v>
      </c>
    </row>
    <row r="86" spans="2:5">
      <c r="B86" s="139">
        <v>178</v>
      </c>
      <c r="D86" s="127" t="s">
        <v>122</v>
      </c>
      <c r="E86" s="140" t="s">
        <v>550</v>
      </c>
    </row>
    <row r="87" spans="2:5">
      <c r="B87" s="139">
        <v>179</v>
      </c>
      <c r="D87" s="127" t="s">
        <v>123</v>
      </c>
      <c r="E87" s="140" t="s">
        <v>666</v>
      </c>
    </row>
    <row r="88" spans="2:5">
      <c r="B88" s="139">
        <v>180</v>
      </c>
      <c r="D88" s="127" t="s">
        <v>467</v>
      </c>
      <c r="E88" s="140" t="s">
        <v>667</v>
      </c>
    </row>
    <row r="89" spans="2:5" ht="24">
      <c r="B89" s="139">
        <v>181</v>
      </c>
      <c r="D89" s="127" t="s">
        <v>468</v>
      </c>
      <c r="E89" s="140" t="s">
        <v>668</v>
      </c>
    </row>
    <row r="90" spans="2:5" ht="24">
      <c r="B90" s="139">
        <v>182</v>
      </c>
      <c r="D90" s="127" t="s">
        <v>124</v>
      </c>
      <c r="E90" s="140" t="s">
        <v>669</v>
      </c>
    </row>
    <row r="91" spans="2:5">
      <c r="B91" s="139">
        <v>183</v>
      </c>
      <c r="D91" s="127" t="s">
        <v>125</v>
      </c>
      <c r="E91" s="140" t="s">
        <v>126</v>
      </c>
    </row>
    <row r="92" spans="2:5">
      <c r="B92" s="139">
        <v>184</v>
      </c>
      <c r="D92" s="127" t="s">
        <v>469</v>
      </c>
      <c r="E92" s="140" t="s">
        <v>551</v>
      </c>
    </row>
    <row r="93" spans="2:5">
      <c r="B93" s="139">
        <v>185</v>
      </c>
      <c r="D93" s="127" t="s">
        <v>470</v>
      </c>
      <c r="E93" s="140" t="s">
        <v>552</v>
      </c>
    </row>
    <row r="94" spans="2:5">
      <c r="B94" s="139">
        <v>186</v>
      </c>
      <c r="D94" s="127" t="s">
        <v>471</v>
      </c>
      <c r="E94" s="140" t="s">
        <v>964</v>
      </c>
    </row>
    <row r="95" spans="2:5">
      <c r="B95" s="139">
        <v>187</v>
      </c>
      <c r="D95" s="127" t="s">
        <v>127</v>
      </c>
      <c r="E95" s="140" t="s">
        <v>670</v>
      </c>
    </row>
    <row r="96" spans="2:5" ht="24">
      <c r="B96" s="139">
        <v>188</v>
      </c>
      <c r="D96" s="127" t="s">
        <v>128</v>
      </c>
      <c r="E96" s="140" t="s">
        <v>671</v>
      </c>
    </row>
    <row r="97" spans="2:5" ht="24">
      <c r="B97" s="139">
        <v>189</v>
      </c>
      <c r="D97" s="127" t="s">
        <v>129</v>
      </c>
      <c r="E97" s="140" t="s">
        <v>672</v>
      </c>
    </row>
    <row r="98" spans="2:5">
      <c r="B98" s="139">
        <v>190</v>
      </c>
      <c r="D98" s="127" t="s">
        <v>130</v>
      </c>
      <c r="E98" s="140" t="s">
        <v>130</v>
      </c>
    </row>
    <row r="99" spans="2:5">
      <c r="B99" s="139">
        <v>191</v>
      </c>
      <c r="D99" s="127" t="s">
        <v>131</v>
      </c>
      <c r="E99" s="140" t="s">
        <v>553</v>
      </c>
    </row>
    <row r="100" spans="2:5">
      <c r="B100" s="139">
        <v>192</v>
      </c>
      <c r="D100" s="127" t="s">
        <v>132</v>
      </c>
      <c r="E100" s="140" t="s">
        <v>554</v>
      </c>
    </row>
    <row r="101" spans="2:5">
      <c r="B101" s="139">
        <v>193</v>
      </c>
      <c r="D101" s="127" t="s">
        <v>133</v>
      </c>
      <c r="E101" s="140" t="s">
        <v>555</v>
      </c>
    </row>
    <row r="102" spans="2:5">
      <c r="B102" s="139">
        <v>194</v>
      </c>
      <c r="D102" s="127" t="s">
        <v>472</v>
      </c>
      <c r="E102" s="140" t="s">
        <v>673</v>
      </c>
    </row>
    <row r="103" spans="2:5">
      <c r="B103" s="139">
        <v>195</v>
      </c>
      <c r="D103" s="127" t="s">
        <v>134</v>
      </c>
      <c r="E103" s="140" t="s">
        <v>674</v>
      </c>
    </row>
    <row r="104" spans="2:5">
      <c r="B104" s="139">
        <v>196</v>
      </c>
      <c r="D104" s="127" t="s">
        <v>473</v>
      </c>
      <c r="E104" s="140" t="s">
        <v>675</v>
      </c>
    </row>
    <row r="105" spans="2:5">
      <c r="B105" s="139">
        <v>197</v>
      </c>
      <c r="D105" s="127" t="s">
        <v>135</v>
      </c>
      <c r="E105" s="140" t="s">
        <v>676</v>
      </c>
    </row>
    <row r="106" spans="2:5">
      <c r="B106" s="139">
        <v>198</v>
      </c>
      <c r="D106" s="127" t="s">
        <v>136</v>
      </c>
      <c r="E106" s="140" t="s">
        <v>677</v>
      </c>
    </row>
    <row r="107" spans="2:5">
      <c r="B107" s="139">
        <v>199</v>
      </c>
      <c r="D107" s="127" t="s">
        <v>137</v>
      </c>
      <c r="E107" s="140" t="s">
        <v>678</v>
      </c>
    </row>
    <row r="108" spans="2:5">
      <c r="B108" s="139">
        <v>200</v>
      </c>
      <c r="D108" s="127" t="s">
        <v>474</v>
      </c>
      <c r="E108" s="140" t="s">
        <v>679</v>
      </c>
    </row>
    <row r="109" spans="2:5">
      <c r="B109" s="139">
        <v>201</v>
      </c>
      <c r="D109" s="127" t="s">
        <v>138</v>
      </c>
      <c r="E109" s="140" t="s">
        <v>680</v>
      </c>
    </row>
    <row r="110" spans="2:5">
      <c r="B110" s="139">
        <v>202</v>
      </c>
      <c r="D110" s="127" t="s">
        <v>139</v>
      </c>
      <c r="E110" s="140" t="s">
        <v>681</v>
      </c>
    </row>
    <row r="111" spans="2:5">
      <c r="B111" s="139">
        <v>203</v>
      </c>
      <c r="D111" s="127" t="s">
        <v>140</v>
      </c>
      <c r="E111" s="140" t="s">
        <v>556</v>
      </c>
    </row>
    <row r="112" spans="2:5">
      <c r="B112" s="139">
        <v>204</v>
      </c>
      <c r="D112" s="127" t="s">
        <v>475</v>
      </c>
      <c r="E112" s="140" t="s">
        <v>557</v>
      </c>
    </row>
    <row r="113" spans="2:5">
      <c r="B113" s="139">
        <v>205</v>
      </c>
      <c r="D113" s="127" t="s">
        <v>476</v>
      </c>
      <c r="E113" s="140" t="s">
        <v>558</v>
      </c>
    </row>
    <row r="114" spans="2:5">
      <c r="B114" s="139">
        <v>206</v>
      </c>
      <c r="D114" s="127" t="s">
        <v>477</v>
      </c>
      <c r="E114" s="140" t="s">
        <v>682</v>
      </c>
    </row>
    <row r="115" spans="2:5">
      <c r="B115" s="139">
        <v>207</v>
      </c>
      <c r="D115" s="127" t="s">
        <v>478</v>
      </c>
      <c r="E115" s="140" t="s">
        <v>559</v>
      </c>
    </row>
    <row r="116" spans="2:5">
      <c r="B116" s="139">
        <v>208</v>
      </c>
      <c r="D116" s="127" t="s">
        <v>479</v>
      </c>
      <c r="E116" s="140" t="s">
        <v>560</v>
      </c>
    </row>
    <row r="117" spans="2:5">
      <c r="B117" s="139">
        <v>209</v>
      </c>
      <c r="D117" s="127" t="s">
        <v>141</v>
      </c>
      <c r="E117" s="140" t="s">
        <v>683</v>
      </c>
    </row>
    <row r="118" spans="2:5">
      <c r="B118" s="139">
        <v>210</v>
      </c>
      <c r="D118" s="127" t="s">
        <v>480</v>
      </c>
      <c r="E118" s="140" t="s">
        <v>684</v>
      </c>
    </row>
    <row r="119" spans="2:5">
      <c r="B119" s="139">
        <v>211</v>
      </c>
      <c r="D119" s="127" t="s">
        <v>142</v>
      </c>
      <c r="E119" s="140" t="s">
        <v>561</v>
      </c>
    </row>
    <row r="120" spans="2:5">
      <c r="B120" s="139">
        <v>212</v>
      </c>
      <c r="D120" s="127" t="s">
        <v>143</v>
      </c>
      <c r="E120" s="140" t="s">
        <v>685</v>
      </c>
    </row>
    <row r="121" spans="2:5">
      <c r="B121" s="139">
        <v>213</v>
      </c>
      <c r="D121" s="127" t="s">
        <v>144</v>
      </c>
      <c r="E121" s="140" t="s">
        <v>686</v>
      </c>
    </row>
    <row r="122" spans="2:5">
      <c r="B122" s="139">
        <v>214</v>
      </c>
      <c r="D122" s="127" t="s">
        <v>481</v>
      </c>
      <c r="E122" s="140" t="s">
        <v>687</v>
      </c>
    </row>
    <row r="123" spans="2:5">
      <c r="B123" s="139">
        <v>215</v>
      </c>
      <c r="D123" s="127" t="s">
        <v>482</v>
      </c>
      <c r="E123" s="140" t="s">
        <v>688</v>
      </c>
    </row>
    <row r="124" spans="2:5">
      <c r="B124" s="139">
        <v>216</v>
      </c>
      <c r="D124" s="127" t="s">
        <v>1089</v>
      </c>
      <c r="E124" s="140" t="s">
        <v>689</v>
      </c>
    </row>
    <row r="125" spans="2:5">
      <c r="B125" s="139">
        <v>217</v>
      </c>
      <c r="D125" s="127" t="s">
        <v>483</v>
      </c>
      <c r="E125" s="140" t="s">
        <v>690</v>
      </c>
    </row>
    <row r="126" spans="2:5">
      <c r="B126" s="139">
        <v>218</v>
      </c>
      <c r="D126" s="127" t="s">
        <v>484</v>
      </c>
      <c r="E126" s="140" t="s">
        <v>691</v>
      </c>
    </row>
    <row r="127" spans="2:5">
      <c r="B127" s="139">
        <v>219</v>
      </c>
      <c r="D127" s="127" t="s">
        <v>485</v>
      </c>
      <c r="E127" s="140" t="s">
        <v>692</v>
      </c>
    </row>
    <row r="128" spans="2:5">
      <c r="B128" s="139">
        <v>220</v>
      </c>
      <c r="D128" s="127" t="s">
        <v>486</v>
      </c>
      <c r="E128" s="140" t="s">
        <v>693</v>
      </c>
    </row>
    <row r="129" spans="2:5">
      <c r="B129" s="139">
        <v>221</v>
      </c>
      <c r="D129" s="127" t="s">
        <v>145</v>
      </c>
      <c r="E129" s="140" t="s">
        <v>694</v>
      </c>
    </row>
    <row r="130" spans="2:5">
      <c r="B130" s="139">
        <v>222</v>
      </c>
      <c r="D130" s="127" t="s">
        <v>146</v>
      </c>
      <c r="E130" s="140" t="s">
        <v>695</v>
      </c>
    </row>
    <row r="131" spans="2:5">
      <c r="B131" s="139">
        <v>223</v>
      </c>
      <c r="D131" s="127" t="s">
        <v>147</v>
      </c>
      <c r="E131" s="140" t="s">
        <v>696</v>
      </c>
    </row>
    <row r="132" spans="2:5">
      <c r="B132" s="139">
        <v>224</v>
      </c>
      <c r="D132" s="127" t="s">
        <v>148</v>
      </c>
      <c r="E132" s="140" t="s">
        <v>697</v>
      </c>
    </row>
    <row r="133" spans="2:5">
      <c r="B133" s="139">
        <v>225</v>
      </c>
      <c r="D133" s="127" t="s">
        <v>487</v>
      </c>
      <c r="E133" s="140" t="s">
        <v>698</v>
      </c>
    </row>
    <row r="134" spans="2:5">
      <c r="B134" s="139">
        <v>226</v>
      </c>
      <c r="D134" s="127" t="s">
        <v>488</v>
      </c>
      <c r="E134" s="140" t="s">
        <v>699</v>
      </c>
    </row>
    <row r="135" spans="2:5">
      <c r="B135" s="139">
        <v>227</v>
      </c>
      <c r="D135" s="127" t="s">
        <v>489</v>
      </c>
      <c r="E135" s="140" t="s">
        <v>700</v>
      </c>
    </row>
    <row r="136" spans="2:5">
      <c r="B136" s="139">
        <v>228</v>
      </c>
      <c r="D136" s="127" t="s">
        <v>149</v>
      </c>
      <c r="E136" s="140" t="s">
        <v>701</v>
      </c>
    </row>
    <row r="137" spans="2:5">
      <c r="B137" s="139">
        <v>229</v>
      </c>
      <c r="D137" s="127" t="s">
        <v>150</v>
      </c>
      <c r="E137" s="140" t="s">
        <v>702</v>
      </c>
    </row>
    <row r="138" spans="2:5">
      <c r="B138" s="139">
        <v>230</v>
      </c>
      <c r="D138" s="127" t="s">
        <v>490</v>
      </c>
      <c r="E138" s="140" t="s">
        <v>562</v>
      </c>
    </row>
    <row r="139" spans="2:5">
      <c r="B139" s="139">
        <v>231</v>
      </c>
      <c r="D139" s="127" t="s">
        <v>151</v>
      </c>
      <c r="E139" s="140" t="s">
        <v>703</v>
      </c>
    </row>
    <row r="140" spans="2:5" ht="36">
      <c r="B140" s="139">
        <v>232</v>
      </c>
      <c r="D140" s="127" t="s">
        <v>152</v>
      </c>
      <c r="E140" s="140" t="s">
        <v>704</v>
      </c>
    </row>
    <row r="141" spans="2:5">
      <c r="B141" s="139">
        <v>233</v>
      </c>
      <c r="D141" s="127" t="s">
        <v>153</v>
      </c>
      <c r="E141" s="140" t="s">
        <v>705</v>
      </c>
    </row>
    <row r="142" spans="2:5">
      <c r="B142" s="139">
        <v>234</v>
      </c>
      <c r="D142" s="127" t="s">
        <v>154</v>
      </c>
      <c r="E142" s="140" t="s">
        <v>965</v>
      </c>
    </row>
    <row r="143" spans="2:5">
      <c r="B143" s="139">
        <v>235</v>
      </c>
      <c r="D143" s="127" t="s">
        <v>155</v>
      </c>
      <c r="E143" s="140" t="s">
        <v>563</v>
      </c>
    </row>
    <row r="144" spans="2:5">
      <c r="B144" s="139">
        <v>236</v>
      </c>
      <c r="D144" s="127" t="s">
        <v>156</v>
      </c>
      <c r="E144" s="140" t="s">
        <v>706</v>
      </c>
    </row>
    <row r="145" spans="2:5">
      <c r="B145" s="139">
        <v>237</v>
      </c>
      <c r="D145" s="127" t="s">
        <v>157</v>
      </c>
      <c r="E145" s="140" t="s">
        <v>564</v>
      </c>
    </row>
    <row r="146" spans="2:5">
      <c r="B146" s="139">
        <v>238</v>
      </c>
      <c r="D146" s="127" t="s">
        <v>158</v>
      </c>
      <c r="E146" s="140" t="s">
        <v>707</v>
      </c>
    </row>
    <row r="147" spans="2:5">
      <c r="B147" s="139">
        <v>239</v>
      </c>
      <c r="D147" s="127" t="s">
        <v>159</v>
      </c>
      <c r="E147" s="140" t="s">
        <v>708</v>
      </c>
    </row>
    <row r="148" spans="2:5">
      <c r="B148" s="139">
        <v>240</v>
      </c>
      <c r="D148" s="127" t="s">
        <v>160</v>
      </c>
      <c r="E148" s="140" t="s">
        <v>565</v>
      </c>
    </row>
    <row r="149" spans="2:5">
      <c r="B149" s="139">
        <v>241</v>
      </c>
      <c r="D149" s="127" t="s">
        <v>161</v>
      </c>
      <c r="E149" s="140" t="s">
        <v>566</v>
      </c>
    </row>
    <row r="150" spans="2:5">
      <c r="B150" s="139">
        <v>242</v>
      </c>
      <c r="D150" s="127" t="s">
        <v>162</v>
      </c>
      <c r="E150" s="140" t="s">
        <v>709</v>
      </c>
    </row>
    <row r="151" spans="2:5">
      <c r="B151" s="139">
        <v>243</v>
      </c>
      <c r="D151" s="127" t="s">
        <v>163</v>
      </c>
      <c r="E151" s="140" t="s">
        <v>710</v>
      </c>
    </row>
    <row r="152" spans="2:5">
      <c r="B152" s="139">
        <v>244</v>
      </c>
      <c r="D152" s="127" t="s">
        <v>164</v>
      </c>
      <c r="E152" s="140" t="s">
        <v>711</v>
      </c>
    </row>
    <row r="153" spans="2:5">
      <c r="B153" s="139">
        <v>245</v>
      </c>
      <c r="D153" s="127" t="s">
        <v>491</v>
      </c>
      <c r="E153" s="140" t="s">
        <v>712</v>
      </c>
    </row>
    <row r="154" spans="2:5">
      <c r="B154" s="139">
        <v>246</v>
      </c>
      <c r="D154" s="127" t="s">
        <v>165</v>
      </c>
      <c r="E154" s="140" t="s">
        <v>713</v>
      </c>
    </row>
    <row r="155" spans="2:5">
      <c r="B155" s="139">
        <v>247</v>
      </c>
      <c r="D155" s="127" t="s">
        <v>166</v>
      </c>
      <c r="E155" s="140" t="s">
        <v>567</v>
      </c>
    </row>
    <row r="156" spans="2:5">
      <c r="B156" s="139">
        <v>248</v>
      </c>
      <c r="D156" s="127" t="s">
        <v>167</v>
      </c>
      <c r="E156" s="140" t="s">
        <v>714</v>
      </c>
    </row>
    <row r="157" spans="2:5">
      <c r="B157" s="139">
        <v>249</v>
      </c>
      <c r="D157" s="127" t="s">
        <v>492</v>
      </c>
      <c r="E157" s="140" t="s">
        <v>715</v>
      </c>
    </row>
    <row r="158" spans="2:5">
      <c r="B158" s="139">
        <v>250</v>
      </c>
      <c r="D158" s="127" t="s">
        <v>493</v>
      </c>
      <c r="E158" s="140" t="s">
        <v>716</v>
      </c>
    </row>
    <row r="159" spans="2:5">
      <c r="B159" s="139">
        <v>251</v>
      </c>
      <c r="D159" s="127" t="s">
        <v>494</v>
      </c>
      <c r="E159" s="140" t="s">
        <v>717</v>
      </c>
    </row>
    <row r="160" spans="2:5">
      <c r="B160" s="139">
        <v>252</v>
      </c>
      <c r="D160" s="127" t="s">
        <v>495</v>
      </c>
      <c r="E160" s="140" t="s">
        <v>718</v>
      </c>
    </row>
    <row r="161" spans="2:5">
      <c r="B161" s="139">
        <v>253</v>
      </c>
      <c r="D161" s="127" t="s">
        <v>168</v>
      </c>
      <c r="E161" s="140" t="s">
        <v>966</v>
      </c>
    </row>
    <row r="162" spans="2:5" ht="24">
      <c r="B162" s="139">
        <v>254</v>
      </c>
      <c r="D162" s="127" t="s">
        <v>169</v>
      </c>
      <c r="E162" s="140" t="s">
        <v>719</v>
      </c>
    </row>
    <row r="163" spans="2:5" ht="24">
      <c r="B163" s="139">
        <v>255</v>
      </c>
      <c r="D163" s="127" t="s">
        <v>170</v>
      </c>
      <c r="E163" s="140" t="s">
        <v>720</v>
      </c>
    </row>
    <row r="164" spans="2:5" ht="24">
      <c r="B164" s="139">
        <v>256</v>
      </c>
      <c r="D164" s="127" t="s">
        <v>171</v>
      </c>
      <c r="E164" s="140" t="s">
        <v>721</v>
      </c>
    </row>
    <row r="165" spans="2:5">
      <c r="B165" s="139">
        <v>257</v>
      </c>
      <c r="D165" s="127" t="s">
        <v>172</v>
      </c>
      <c r="E165" s="140" t="s">
        <v>568</v>
      </c>
    </row>
    <row r="166" spans="2:5">
      <c r="B166" s="139">
        <v>258</v>
      </c>
      <c r="D166" s="127" t="s">
        <v>173</v>
      </c>
      <c r="E166" s="140" t="s">
        <v>722</v>
      </c>
    </row>
    <row r="167" spans="2:5">
      <c r="B167" s="139">
        <v>259</v>
      </c>
      <c r="D167" s="127" t="s">
        <v>174</v>
      </c>
      <c r="E167" s="140" t="s">
        <v>723</v>
      </c>
    </row>
    <row r="168" spans="2:5">
      <c r="B168" s="139">
        <v>260</v>
      </c>
      <c r="D168" s="127" t="s">
        <v>175</v>
      </c>
      <c r="E168" s="140" t="s">
        <v>724</v>
      </c>
    </row>
    <row r="169" spans="2:5">
      <c r="B169" s="139">
        <v>261</v>
      </c>
      <c r="D169" s="127" t="s">
        <v>176</v>
      </c>
      <c r="E169" s="140" t="s">
        <v>725</v>
      </c>
    </row>
    <row r="170" spans="2:5" ht="24">
      <c r="B170" s="139">
        <v>262</v>
      </c>
      <c r="D170" s="127" t="s">
        <v>177</v>
      </c>
      <c r="E170" s="140" t="s">
        <v>726</v>
      </c>
    </row>
    <row r="171" spans="2:5">
      <c r="B171" s="139">
        <v>263</v>
      </c>
      <c r="D171" s="127" t="s">
        <v>178</v>
      </c>
      <c r="E171" s="140" t="s">
        <v>727</v>
      </c>
    </row>
    <row r="172" spans="2:5">
      <c r="B172" s="139">
        <v>264</v>
      </c>
      <c r="D172" s="127" t="s">
        <v>179</v>
      </c>
      <c r="E172" s="140" t="s">
        <v>728</v>
      </c>
    </row>
    <row r="173" spans="2:5">
      <c r="B173" s="139">
        <v>265</v>
      </c>
      <c r="D173" s="127" t="s">
        <v>180</v>
      </c>
      <c r="E173" s="140" t="s">
        <v>729</v>
      </c>
    </row>
    <row r="174" spans="2:5">
      <c r="B174" s="139">
        <v>266</v>
      </c>
      <c r="D174" s="127" t="s">
        <v>181</v>
      </c>
      <c r="E174" s="140" t="s">
        <v>730</v>
      </c>
    </row>
    <row r="175" spans="2:5">
      <c r="B175" s="139">
        <v>267</v>
      </c>
      <c r="D175" s="127" t="s">
        <v>182</v>
      </c>
      <c r="E175" s="140" t="s">
        <v>731</v>
      </c>
    </row>
    <row r="176" spans="2:5">
      <c r="B176" s="139">
        <v>268</v>
      </c>
      <c r="D176" s="127" t="s">
        <v>183</v>
      </c>
      <c r="E176" s="140" t="s">
        <v>732</v>
      </c>
    </row>
    <row r="177" spans="2:5">
      <c r="B177" s="139">
        <v>269</v>
      </c>
      <c r="D177" s="127" t="s">
        <v>496</v>
      </c>
      <c r="E177" s="140" t="s">
        <v>733</v>
      </c>
    </row>
    <row r="178" spans="2:5">
      <c r="B178" s="139">
        <v>270</v>
      </c>
      <c r="D178" s="127" t="s">
        <v>184</v>
      </c>
      <c r="E178" s="140" t="s">
        <v>734</v>
      </c>
    </row>
    <row r="179" spans="2:5">
      <c r="B179" s="139">
        <v>271</v>
      </c>
      <c r="D179" s="127" t="s">
        <v>497</v>
      </c>
      <c r="E179" s="140" t="s">
        <v>569</v>
      </c>
    </row>
    <row r="180" spans="2:5" ht="24">
      <c r="B180" s="139">
        <v>272</v>
      </c>
      <c r="D180" s="127" t="s">
        <v>185</v>
      </c>
    </row>
    <row r="181" spans="2:5">
      <c r="B181" s="139">
        <v>273</v>
      </c>
      <c r="D181" s="127" t="s">
        <v>186</v>
      </c>
      <c r="E181" s="140" t="s">
        <v>735</v>
      </c>
    </row>
    <row r="182" spans="2:5">
      <c r="B182" s="139">
        <v>274</v>
      </c>
      <c r="D182" s="127" t="s">
        <v>187</v>
      </c>
      <c r="E182" s="140" t="s">
        <v>570</v>
      </c>
    </row>
    <row r="183" spans="2:5">
      <c r="B183" s="139">
        <v>275</v>
      </c>
      <c r="D183" s="127" t="s">
        <v>188</v>
      </c>
      <c r="E183" s="140" t="s">
        <v>571</v>
      </c>
    </row>
    <row r="184" spans="2:5">
      <c r="B184" s="139">
        <v>276</v>
      </c>
      <c r="D184" s="127" t="s">
        <v>189</v>
      </c>
      <c r="E184" s="140" t="s">
        <v>967</v>
      </c>
    </row>
    <row r="185" spans="2:5">
      <c r="B185" s="139">
        <v>277</v>
      </c>
      <c r="D185" s="127" t="s">
        <v>498</v>
      </c>
      <c r="E185" s="140" t="s">
        <v>572</v>
      </c>
    </row>
    <row r="186" spans="2:5">
      <c r="B186" s="139">
        <v>278</v>
      </c>
      <c r="D186" s="127" t="s">
        <v>190</v>
      </c>
      <c r="E186" s="140" t="s">
        <v>573</v>
      </c>
    </row>
    <row r="187" spans="2:5">
      <c r="B187" s="139">
        <v>279</v>
      </c>
      <c r="D187" s="127" t="s">
        <v>191</v>
      </c>
      <c r="E187" s="140" t="s">
        <v>736</v>
      </c>
    </row>
    <row r="188" spans="2:5">
      <c r="B188" s="139">
        <v>280</v>
      </c>
      <c r="D188" s="127" t="s">
        <v>2</v>
      </c>
      <c r="E188" s="140" t="s">
        <v>2</v>
      </c>
    </row>
    <row r="189" spans="2:5">
      <c r="B189" s="139">
        <v>281</v>
      </c>
      <c r="D189" s="127" t="s">
        <v>3</v>
      </c>
      <c r="E189" s="140" t="s">
        <v>3</v>
      </c>
    </row>
    <row r="190" spans="2:5">
      <c r="B190" s="139">
        <v>282</v>
      </c>
      <c r="D190" s="127" t="s">
        <v>192</v>
      </c>
      <c r="E190" s="140" t="s">
        <v>193</v>
      </c>
    </row>
    <row r="191" spans="2:5">
      <c r="B191" s="139">
        <v>283</v>
      </c>
      <c r="D191" s="127" t="s">
        <v>194</v>
      </c>
      <c r="E191" s="140" t="s">
        <v>968</v>
      </c>
    </row>
    <row r="192" spans="2:5">
      <c r="B192" s="139">
        <v>284</v>
      </c>
      <c r="D192" s="127" t="s">
        <v>195</v>
      </c>
      <c r="E192" s="140" t="s">
        <v>737</v>
      </c>
    </row>
    <row r="193" spans="2:5">
      <c r="B193" s="139">
        <v>285</v>
      </c>
      <c r="D193" s="127" t="s">
        <v>196</v>
      </c>
      <c r="E193" s="140" t="s">
        <v>574</v>
      </c>
    </row>
    <row r="194" spans="2:5">
      <c r="B194" s="139">
        <v>286</v>
      </c>
      <c r="D194" s="127" t="s">
        <v>499</v>
      </c>
      <c r="E194" s="140" t="s">
        <v>575</v>
      </c>
    </row>
    <row r="195" spans="2:5">
      <c r="B195" s="139">
        <v>287</v>
      </c>
      <c r="D195" s="127" t="s">
        <v>500</v>
      </c>
      <c r="E195" s="140" t="s">
        <v>576</v>
      </c>
    </row>
    <row r="196" spans="2:5">
      <c r="B196" s="139">
        <v>288</v>
      </c>
      <c r="D196" s="127" t="s">
        <v>501</v>
      </c>
      <c r="E196" s="140" t="s">
        <v>575</v>
      </c>
    </row>
    <row r="197" spans="2:5">
      <c r="B197" s="139">
        <v>289</v>
      </c>
      <c r="D197" s="127" t="s">
        <v>197</v>
      </c>
      <c r="E197" s="140" t="s">
        <v>577</v>
      </c>
    </row>
    <row r="198" spans="2:5">
      <c r="B198" s="139">
        <v>290</v>
      </c>
      <c r="D198" s="127" t="s">
        <v>502</v>
      </c>
      <c r="E198" s="140" t="s">
        <v>738</v>
      </c>
    </row>
    <row r="199" spans="2:5">
      <c r="B199" s="139">
        <v>291</v>
      </c>
      <c r="D199" s="127" t="s">
        <v>198</v>
      </c>
      <c r="E199" s="140" t="s">
        <v>739</v>
      </c>
    </row>
    <row r="200" spans="2:5">
      <c r="B200" s="139">
        <v>292</v>
      </c>
      <c r="D200" s="127" t="s">
        <v>533</v>
      </c>
      <c r="E200" s="140" t="s">
        <v>740</v>
      </c>
    </row>
    <row r="201" spans="2:5">
      <c r="B201" s="139">
        <v>293</v>
      </c>
      <c r="D201" s="127" t="s">
        <v>534</v>
      </c>
      <c r="E201" s="140" t="s">
        <v>969</v>
      </c>
    </row>
    <row r="202" spans="2:5">
      <c r="B202" s="139">
        <v>294</v>
      </c>
      <c r="D202" s="127" t="s">
        <v>199</v>
      </c>
      <c r="E202" s="140" t="s">
        <v>578</v>
      </c>
    </row>
    <row r="203" spans="2:5">
      <c r="B203" s="139">
        <v>295</v>
      </c>
      <c r="D203" s="127" t="s">
        <v>503</v>
      </c>
      <c r="E203" s="140" t="s">
        <v>579</v>
      </c>
    </row>
    <row r="204" spans="2:5">
      <c r="B204" s="139">
        <v>296</v>
      </c>
      <c r="D204" s="127" t="s">
        <v>200</v>
      </c>
      <c r="E204" s="140" t="s">
        <v>741</v>
      </c>
    </row>
    <row r="205" spans="2:5">
      <c r="B205" s="139">
        <v>297</v>
      </c>
      <c r="D205" s="127" t="s">
        <v>201</v>
      </c>
      <c r="E205" s="140" t="s">
        <v>742</v>
      </c>
    </row>
    <row r="206" spans="2:5">
      <c r="B206" s="139">
        <v>298</v>
      </c>
      <c r="D206" s="127" t="s">
        <v>202</v>
      </c>
      <c r="E206" s="140" t="s">
        <v>580</v>
      </c>
    </row>
    <row r="207" spans="2:5" ht="24">
      <c r="B207" s="139">
        <v>299</v>
      </c>
      <c r="D207" s="127" t="s">
        <v>203</v>
      </c>
      <c r="E207" s="140" t="s">
        <v>743</v>
      </c>
    </row>
    <row r="208" spans="2:5" ht="24">
      <c r="B208" s="139">
        <v>300</v>
      </c>
      <c r="D208" s="127" t="s">
        <v>535</v>
      </c>
      <c r="E208" s="140" t="s">
        <v>744</v>
      </c>
    </row>
    <row r="209" spans="2:5">
      <c r="B209" s="139">
        <v>301</v>
      </c>
      <c r="D209" s="127" t="s">
        <v>536</v>
      </c>
      <c r="E209" s="140" t="s">
        <v>970</v>
      </c>
    </row>
    <row r="210" spans="2:5">
      <c r="B210" s="139">
        <v>302</v>
      </c>
      <c r="D210" s="127" t="s">
        <v>504</v>
      </c>
      <c r="E210" s="140" t="s">
        <v>971</v>
      </c>
    </row>
    <row r="211" spans="2:5">
      <c r="B211" s="139">
        <v>303</v>
      </c>
      <c r="D211" s="127" t="s">
        <v>204</v>
      </c>
      <c r="E211" s="140" t="s">
        <v>745</v>
      </c>
    </row>
    <row r="212" spans="2:5">
      <c r="B212" s="139">
        <v>304</v>
      </c>
      <c r="D212" s="127" t="s">
        <v>505</v>
      </c>
      <c r="E212" s="140" t="s">
        <v>746</v>
      </c>
    </row>
    <row r="213" spans="2:5">
      <c r="B213" s="139">
        <v>305</v>
      </c>
      <c r="D213" s="127" t="s">
        <v>506</v>
      </c>
      <c r="E213" s="140" t="s">
        <v>581</v>
      </c>
    </row>
    <row r="214" spans="2:5">
      <c r="B214" s="139">
        <v>306</v>
      </c>
      <c r="D214" s="127" t="s">
        <v>205</v>
      </c>
      <c r="E214" s="140" t="s">
        <v>747</v>
      </c>
    </row>
    <row r="215" spans="2:5">
      <c r="B215" s="139">
        <v>307</v>
      </c>
      <c r="D215" s="127" t="s">
        <v>206</v>
      </c>
      <c r="E215" s="140" t="s">
        <v>582</v>
      </c>
    </row>
    <row r="216" spans="2:5">
      <c r="B216" s="139">
        <v>308</v>
      </c>
      <c r="D216" s="127" t="s">
        <v>507</v>
      </c>
      <c r="E216" s="140" t="s">
        <v>748</v>
      </c>
    </row>
    <row r="217" spans="2:5">
      <c r="B217" s="139">
        <v>309</v>
      </c>
      <c r="D217" s="127" t="s">
        <v>207</v>
      </c>
      <c r="E217" s="140" t="s">
        <v>749</v>
      </c>
    </row>
    <row r="218" spans="2:5">
      <c r="B218" s="139">
        <v>310</v>
      </c>
      <c r="D218" s="127" t="s">
        <v>208</v>
      </c>
      <c r="E218" s="140" t="s">
        <v>750</v>
      </c>
    </row>
    <row r="219" spans="2:5" ht="24">
      <c r="B219" s="139">
        <v>311</v>
      </c>
      <c r="D219" s="127" t="s">
        <v>209</v>
      </c>
      <c r="E219" s="140" t="s">
        <v>751</v>
      </c>
    </row>
    <row r="220" spans="2:5">
      <c r="B220" s="139">
        <v>312</v>
      </c>
      <c r="D220" s="127" t="s">
        <v>210</v>
      </c>
      <c r="E220" s="140" t="s">
        <v>752</v>
      </c>
    </row>
    <row r="221" spans="2:5">
      <c r="B221" s="139">
        <v>313</v>
      </c>
      <c r="C221" s="136" t="s">
        <v>946</v>
      </c>
      <c r="D221" s="127" t="s">
        <v>972</v>
      </c>
      <c r="E221" s="166" t="s">
        <v>973</v>
      </c>
    </row>
    <row r="222" spans="2:5">
      <c r="B222" s="139">
        <v>314</v>
      </c>
      <c r="D222" s="127" t="s">
        <v>211</v>
      </c>
      <c r="E222" s="140" t="s">
        <v>974</v>
      </c>
    </row>
    <row r="223" spans="2:5">
      <c r="B223" s="139">
        <v>315</v>
      </c>
      <c r="D223" s="127" t="s">
        <v>212</v>
      </c>
      <c r="E223" s="140" t="s">
        <v>753</v>
      </c>
    </row>
    <row r="224" spans="2:5">
      <c r="B224" s="139">
        <v>316</v>
      </c>
      <c r="D224" s="127" t="s">
        <v>213</v>
      </c>
      <c r="E224" s="140" t="s">
        <v>754</v>
      </c>
    </row>
    <row r="225" spans="1:6">
      <c r="B225" s="139">
        <v>317</v>
      </c>
      <c r="D225" s="127" t="s">
        <v>214</v>
      </c>
      <c r="E225" s="140" t="s">
        <v>755</v>
      </c>
    </row>
    <row r="226" spans="1:6">
      <c r="B226" s="139">
        <v>318</v>
      </c>
      <c r="D226" s="127" t="s">
        <v>215</v>
      </c>
      <c r="E226" s="140" t="s">
        <v>583</v>
      </c>
    </row>
    <row r="227" spans="1:6">
      <c r="B227" s="139">
        <v>319</v>
      </c>
      <c r="D227" s="127" t="s">
        <v>508</v>
      </c>
      <c r="E227" s="140" t="s">
        <v>756</v>
      </c>
    </row>
    <row r="228" spans="1:6">
      <c r="B228" s="139">
        <v>320</v>
      </c>
      <c r="D228" s="127" t="s">
        <v>216</v>
      </c>
      <c r="E228" s="140" t="s">
        <v>757</v>
      </c>
    </row>
    <row r="229" spans="1:6" ht="36">
      <c r="B229" s="139">
        <v>321</v>
      </c>
      <c r="D229" s="127" t="s">
        <v>217</v>
      </c>
      <c r="E229" s="140" t="s">
        <v>758</v>
      </c>
    </row>
    <row r="230" spans="1:6">
      <c r="B230" s="139">
        <v>322</v>
      </c>
      <c r="D230" s="127" t="s">
        <v>218</v>
      </c>
      <c r="E230" s="140" t="s">
        <v>759</v>
      </c>
    </row>
    <row r="231" spans="1:6" ht="24">
      <c r="B231" s="139">
        <v>323</v>
      </c>
      <c r="D231" s="127" t="s">
        <v>219</v>
      </c>
      <c r="E231" s="140" t="s">
        <v>760</v>
      </c>
    </row>
    <row r="232" spans="1:6">
      <c r="A232" s="129"/>
      <c r="B232" s="139">
        <v>324</v>
      </c>
      <c r="C232" s="138" t="s">
        <v>532</v>
      </c>
      <c r="D232" s="128" t="s">
        <v>975</v>
      </c>
      <c r="E232" s="128" t="s">
        <v>540</v>
      </c>
      <c r="F232" s="130"/>
    </row>
    <row r="233" spans="1:6">
      <c r="A233" s="129"/>
      <c r="B233" s="139">
        <v>325</v>
      </c>
      <c r="C233" s="138" t="s">
        <v>532</v>
      </c>
      <c r="D233" s="128" t="s">
        <v>976</v>
      </c>
      <c r="E233" s="128" t="s">
        <v>925</v>
      </c>
      <c r="F233" s="130"/>
    </row>
    <row r="234" spans="1:6">
      <c r="A234" s="129"/>
      <c r="B234" s="139">
        <v>326</v>
      </c>
      <c r="C234" s="138" t="s">
        <v>944</v>
      </c>
      <c r="D234" s="128" t="s">
        <v>977</v>
      </c>
      <c r="E234" s="128" t="s">
        <v>978</v>
      </c>
      <c r="F234" s="130"/>
    </row>
    <row r="235" spans="1:6">
      <c r="B235" s="139">
        <v>327</v>
      </c>
      <c r="D235" s="127" t="s">
        <v>220</v>
      </c>
      <c r="E235" s="140" t="s">
        <v>584</v>
      </c>
    </row>
    <row r="236" spans="1:6" ht="12.75">
      <c r="B236" s="139">
        <v>328</v>
      </c>
      <c r="D236" s="127" t="s">
        <v>221</v>
      </c>
      <c r="E236" s="168" t="s">
        <v>931</v>
      </c>
    </row>
    <row r="237" spans="1:6">
      <c r="B237" s="139">
        <v>329</v>
      </c>
      <c r="D237" s="127" t="s">
        <v>222</v>
      </c>
      <c r="E237" s="140" t="s">
        <v>761</v>
      </c>
    </row>
    <row r="238" spans="1:6">
      <c r="B238" s="139">
        <v>330</v>
      </c>
      <c r="D238" s="127" t="s">
        <v>223</v>
      </c>
      <c r="E238" s="140" t="s">
        <v>762</v>
      </c>
    </row>
    <row r="239" spans="1:6">
      <c r="B239" s="139">
        <v>331</v>
      </c>
      <c r="D239" s="127" t="s">
        <v>224</v>
      </c>
      <c r="E239" s="140" t="s">
        <v>763</v>
      </c>
    </row>
    <row r="240" spans="1:6">
      <c r="B240" s="139">
        <v>332</v>
      </c>
      <c r="D240" s="127" t="s">
        <v>225</v>
      </c>
      <c r="E240" s="140" t="s">
        <v>764</v>
      </c>
    </row>
    <row r="241" spans="2:5">
      <c r="B241" s="139">
        <v>333</v>
      </c>
      <c r="D241" s="127" t="s">
        <v>226</v>
      </c>
      <c r="E241" s="140" t="s">
        <v>765</v>
      </c>
    </row>
    <row r="242" spans="2:5">
      <c r="B242" s="139">
        <v>334</v>
      </c>
      <c r="D242" s="127" t="s">
        <v>227</v>
      </c>
      <c r="E242" s="140" t="s">
        <v>766</v>
      </c>
    </row>
    <row r="243" spans="2:5">
      <c r="B243" s="139">
        <v>335</v>
      </c>
      <c r="D243" s="127" t="s">
        <v>228</v>
      </c>
      <c r="E243" s="140" t="s">
        <v>767</v>
      </c>
    </row>
    <row r="244" spans="2:5">
      <c r="B244" s="139">
        <v>336</v>
      </c>
      <c r="D244" s="127" t="s">
        <v>229</v>
      </c>
      <c r="E244" s="140" t="s">
        <v>585</v>
      </c>
    </row>
    <row r="245" spans="2:5">
      <c r="B245" s="139">
        <v>337</v>
      </c>
      <c r="D245" s="127" t="s">
        <v>230</v>
      </c>
      <c r="E245" s="140" t="s">
        <v>768</v>
      </c>
    </row>
    <row r="246" spans="2:5">
      <c r="B246" s="139">
        <v>338</v>
      </c>
      <c r="D246" s="127" t="s">
        <v>231</v>
      </c>
      <c r="E246" s="140" t="s">
        <v>586</v>
      </c>
    </row>
    <row r="247" spans="2:5">
      <c r="B247" s="139">
        <v>339</v>
      </c>
      <c r="D247" s="127" t="s">
        <v>232</v>
      </c>
      <c r="E247" s="140" t="s">
        <v>769</v>
      </c>
    </row>
    <row r="248" spans="2:5">
      <c r="B248" s="139">
        <v>340</v>
      </c>
      <c r="D248" s="127" t="s">
        <v>233</v>
      </c>
      <c r="E248" s="140" t="s">
        <v>587</v>
      </c>
    </row>
    <row r="249" spans="2:5">
      <c r="B249" s="139">
        <v>341</v>
      </c>
      <c r="D249" s="127" t="s">
        <v>234</v>
      </c>
      <c r="E249" s="140" t="s">
        <v>770</v>
      </c>
    </row>
    <row r="250" spans="2:5">
      <c r="B250" s="139">
        <v>342</v>
      </c>
      <c r="D250" s="127" t="s">
        <v>235</v>
      </c>
      <c r="E250" s="140" t="s">
        <v>588</v>
      </c>
    </row>
    <row r="251" spans="2:5">
      <c r="B251" s="139">
        <v>343</v>
      </c>
      <c r="D251" s="127" t="s">
        <v>236</v>
      </c>
      <c r="E251" s="140" t="s">
        <v>771</v>
      </c>
    </row>
    <row r="252" spans="2:5">
      <c r="B252" s="139">
        <v>344</v>
      </c>
      <c r="D252" s="127" t="s">
        <v>237</v>
      </c>
      <c r="E252" s="140" t="s">
        <v>589</v>
      </c>
    </row>
    <row r="253" spans="2:5">
      <c r="B253" s="139">
        <v>345</v>
      </c>
      <c r="D253" s="127" t="s">
        <v>238</v>
      </c>
      <c r="E253" s="140" t="s">
        <v>772</v>
      </c>
    </row>
    <row r="254" spans="2:5">
      <c r="B254" s="139">
        <v>346</v>
      </c>
      <c r="D254" s="127" t="s">
        <v>239</v>
      </c>
      <c r="E254" s="140" t="s">
        <v>773</v>
      </c>
    </row>
    <row r="255" spans="2:5">
      <c r="B255" s="139">
        <v>347</v>
      </c>
      <c r="D255" s="127" t="s">
        <v>509</v>
      </c>
      <c r="E255" s="140" t="s">
        <v>509</v>
      </c>
    </row>
    <row r="256" spans="2:5">
      <c r="B256" s="139">
        <v>348</v>
      </c>
      <c r="D256" s="127" t="s">
        <v>240</v>
      </c>
      <c r="E256" s="140" t="s">
        <v>590</v>
      </c>
    </row>
    <row r="257" spans="2:5" ht="24">
      <c r="B257" s="139">
        <v>349</v>
      </c>
      <c r="D257" s="127" t="s">
        <v>241</v>
      </c>
      <c r="E257" s="140" t="s">
        <v>774</v>
      </c>
    </row>
    <row r="258" spans="2:5">
      <c r="B258" s="139">
        <v>350</v>
      </c>
      <c r="D258" s="127" t="s">
        <v>242</v>
      </c>
      <c r="E258" s="140" t="s">
        <v>775</v>
      </c>
    </row>
    <row r="259" spans="2:5" ht="24">
      <c r="B259" s="139">
        <v>351</v>
      </c>
      <c r="D259" s="127" t="s">
        <v>243</v>
      </c>
      <c r="E259" s="140" t="s">
        <v>776</v>
      </c>
    </row>
    <row r="260" spans="2:5" ht="12.75">
      <c r="B260" s="139">
        <v>352</v>
      </c>
      <c r="D260" s="134" t="s">
        <v>979</v>
      </c>
      <c r="E260" s="167" t="s">
        <v>980</v>
      </c>
    </row>
    <row r="261" spans="2:5">
      <c r="B261" s="139">
        <v>353</v>
      </c>
      <c r="D261" s="127" t="s">
        <v>510</v>
      </c>
      <c r="E261" s="140" t="s">
        <v>591</v>
      </c>
    </row>
    <row r="262" spans="2:5">
      <c r="B262" s="139">
        <v>354</v>
      </c>
      <c r="D262" s="127" t="s">
        <v>244</v>
      </c>
      <c r="E262" s="140" t="s">
        <v>777</v>
      </c>
    </row>
    <row r="263" spans="2:5">
      <c r="B263" s="139">
        <v>355</v>
      </c>
      <c r="D263" s="127" t="s">
        <v>511</v>
      </c>
      <c r="E263" s="140" t="s">
        <v>778</v>
      </c>
    </row>
    <row r="264" spans="2:5">
      <c r="B264" s="139">
        <v>356</v>
      </c>
      <c r="D264" s="127" t="s">
        <v>245</v>
      </c>
      <c r="E264" s="140" t="s">
        <v>592</v>
      </c>
    </row>
    <row r="265" spans="2:5">
      <c r="B265" s="139">
        <v>357</v>
      </c>
      <c r="D265" s="127" t="s">
        <v>246</v>
      </c>
      <c r="E265" s="140" t="s">
        <v>593</v>
      </c>
    </row>
    <row r="266" spans="2:5">
      <c r="B266" s="139">
        <v>358</v>
      </c>
      <c r="D266" s="127" t="s">
        <v>247</v>
      </c>
      <c r="E266" s="140" t="s">
        <v>779</v>
      </c>
    </row>
    <row r="267" spans="2:5">
      <c r="B267" s="139">
        <v>359</v>
      </c>
      <c r="D267" s="127" t="s">
        <v>248</v>
      </c>
      <c r="E267" s="140" t="s">
        <v>780</v>
      </c>
    </row>
    <row r="268" spans="2:5">
      <c r="B268" s="139">
        <v>360</v>
      </c>
      <c r="D268" s="127" t="s">
        <v>249</v>
      </c>
      <c r="E268" s="140" t="s">
        <v>781</v>
      </c>
    </row>
    <row r="269" spans="2:5">
      <c r="B269" s="139">
        <v>361</v>
      </c>
      <c r="D269" s="127" t="s">
        <v>250</v>
      </c>
    </row>
    <row r="270" spans="2:5">
      <c r="B270" s="139">
        <v>362</v>
      </c>
      <c r="D270" s="127" t="s">
        <v>512</v>
      </c>
      <c r="E270" s="140" t="s">
        <v>782</v>
      </c>
    </row>
    <row r="271" spans="2:5" ht="24">
      <c r="B271" s="139">
        <v>363</v>
      </c>
      <c r="D271" s="127" t="s">
        <v>513</v>
      </c>
      <c r="E271" s="140" t="s">
        <v>783</v>
      </c>
    </row>
    <row r="272" spans="2:5" ht="24">
      <c r="B272" s="139">
        <v>364</v>
      </c>
      <c r="D272" s="127" t="s">
        <v>251</v>
      </c>
      <c r="E272" s="140" t="s">
        <v>784</v>
      </c>
    </row>
    <row r="273" spans="2:5">
      <c r="B273" s="139">
        <v>365</v>
      </c>
      <c r="D273" s="127" t="s">
        <v>252</v>
      </c>
      <c r="E273" s="140" t="s">
        <v>785</v>
      </c>
    </row>
    <row r="274" spans="2:5">
      <c r="B274" s="139">
        <v>366</v>
      </c>
      <c r="D274" s="127" t="s">
        <v>253</v>
      </c>
      <c r="E274" s="140" t="s">
        <v>786</v>
      </c>
    </row>
    <row r="275" spans="2:5">
      <c r="B275" s="139">
        <v>367</v>
      </c>
      <c r="D275" s="127" t="s">
        <v>254</v>
      </c>
      <c r="E275" s="140" t="s">
        <v>594</v>
      </c>
    </row>
    <row r="276" spans="2:5">
      <c r="B276" s="139">
        <v>368</v>
      </c>
      <c r="D276" s="127" t="s">
        <v>255</v>
      </c>
      <c r="E276" s="140" t="s">
        <v>595</v>
      </c>
    </row>
    <row r="277" spans="2:5">
      <c r="B277" s="139">
        <v>369</v>
      </c>
      <c r="D277" s="127" t="s">
        <v>256</v>
      </c>
      <c r="E277" s="140" t="s">
        <v>787</v>
      </c>
    </row>
    <row r="278" spans="2:5">
      <c r="B278" s="139">
        <v>370</v>
      </c>
      <c r="D278" s="127" t="s">
        <v>257</v>
      </c>
      <c r="E278" s="140" t="s">
        <v>596</v>
      </c>
    </row>
    <row r="279" spans="2:5">
      <c r="B279" s="139">
        <v>371</v>
      </c>
      <c r="D279" s="127" t="s">
        <v>258</v>
      </c>
      <c r="E279" s="140" t="s">
        <v>788</v>
      </c>
    </row>
    <row r="280" spans="2:5">
      <c r="B280" s="139">
        <v>372</v>
      </c>
      <c r="D280" s="127" t="s">
        <v>259</v>
      </c>
      <c r="E280" s="140" t="s">
        <v>597</v>
      </c>
    </row>
    <row r="281" spans="2:5">
      <c r="B281" s="139">
        <v>373</v>
      </c>
      <c r="D281" s="127" t="s">
        <v>260</v>
      </c>
      <c r="E281" s="140" t="s">
        <v>598</v>
      </c>
    </row>
    <row r="282" spans="2:5">
      <c r="B282" s="139">
        <v>374</v>
      </c>
      <c r="D282" s="127" t="s">
        <v>261</v>
      </c>
      <c r="E282" s="140" t="s">
        <v>789</v>
      </c>
    </row>
    <row r="283" spans="2:5">
      <c r="B283" s="139">
        <v>375</v>
      </c>
      <c r="D283" s="127" t="s">
        <v>262</v>
      </c>
      <c r="E283" s="140" t="s">
        <v>790</v>
      </c>
    </row>
    <row r="284" spans="2:5">
      <c r="B284" s="139">
        <v>376</v>
      </c>
      <c r="D284" s="127" t="s">
        <v>263</v>
      </c>
      <c r="E284" s="140" t="s">
        <v>791</v>
      </c>
    </row>
    <row r="285" spans="2:5">
      <c r="B285" s="139">
        <v>377</v>
      </c>
      <c r="D285" s="127" t="s">
        <v>264</v>
      </c>
      <c r="E285" s="140" t="s">
        <v>792</v>
      </c>
    </row>
    <row r="286" spans="2:5">
      <c r="B286" s="139">
        <v>378</v>
      </c>
      <c r="D286" s="127" t="s">
        <v>265</v>
      </c>
      <c r="E286" s="140" t="s">
        <v>599</v>
      </c>
    </row>
    <row r="287" spans="2:5">
      <c r="B287" s="139">
        <v>379</v>
      </c>
      <c r="D287" s="127" t="s">
        <v>266</v>
      </c>
      <c r="E287" s="140" t="s">
        <v>981</v>
      </c>
    </row>
    <row r="288" spans="2:5">
      <c r="B288" s="139">
        <v>380</v>
      </c>
      <c r="D288" s="127" t="s">
        <v>267</v>
      </c>
      <c r="E288" s="140" t="s">
        <v>793</v>
      </c>
    </row>
    <row r="289" spans="2:5">
      <c r="B289" s="139">
        <v>381</v>
      </c>
      <c r="D289" s="127" t="s">
        <v>268</v>
      </c>
      <c r="E289" s="140" t="s">
        <v>600</v>
      </c>
    </row>
    <row r="290" spans="2:5" ht="36">
      <c r="B290" s="139">
        <v>382</v>
      </c>
      <c r="D290" s="127" t="s">
        <v>269</v>
      </c>
      <c r="E290" s="140" t="s">
        <v>794</v>
      </c>
    </row>
    <row r="291" spans="2:5">
      <c r="B291" s="139">
        <v>383</v>
      </c>
      <c r="D291" s="127" t="s">
        <v>270</v>
      </c>
      <c r="E291" s="140" t="s">
        <v>795</v>
      </c>
    </row>
    <row r="292" spans="2:5" ht="24">
      <c r="B292" s="139">
        <v>384</v>
      </c>
      <c r="D292" s="127" t="s">
        <v>271</v>
      </c>
      <c r="E292" s="140" t="s">
        <v>796</v>
      </c>
    </row>
    <row r="293" spans="2:5">
      <c r="B293" s="139">
        <v>385</v>
      </c>
      <c r="D293" s="127" t="s">
        <v>272</v>
      </c>
      <c r="E293" s="140" t="s">
        <v>797</v>
      </c>
    </row>
    <row r="294" spans="2:5" ht="24">
      <c r="B294" s="139">
        <v>386</v>
      </c>
      <c r="D294" s="127" t="s">
        <v>273</v>
      </c>
      <c r="E294" s="140" t="s">
        <v>798</v>
      </c>
    </row>
    <row r="295" spans="2:5" ht="24">
      <c r="B295" s="139">
        <v>387</v>
      </c>
      <c r="D295" s="127" t="s">
        <v>274</v>
      </c>
      <c r="E295" s="140" t="s">
        <v>799</v>
      </c>
    </row>
    <row r="296" spans="2:5" ht="24">
      <c r="B296" s="139">
        <v>388</v>
      </c>
      <c r="D296" s="127" t="s">
        <v>275</v>
      </c>
      <c r="E296" s="140" t="s">
        <v>800</v>
      </c>
    </row>
    <row r="297" spans="2:5" ht="24">
      <c r="B297" s="139">
        <v>389</v>
      </c>
      <c r="D297" s="127" t="s">
        <v>276</v>
      </c>
      <c r="E297" s="140" t="s">
        <v>801</v>
      </c>
    </row>
    <row r="298" spans="2:5" ht="24">
      <c r="B298" s="139">
        <v>390</v>
      </c>
      <c r="D298" s="127" t="s">
        <v>277</v>
      </c>
      <c r="E298" s="140" t="s">
        <v>802</v>
      </c>
    </row>
    <row r="299" spans="2:5" ht="24">
      <c r="B299" s="139">
        <v>391</v>
      </c>
      <c r="D299" s="127" t="s">
        <v>278</v>
      </c>
      <c r="E299" s="140" t="s">
        <v>803</v>
      </c>
    </row>
    <row r="300" spans="2:5" ht="24">
      <c r="B300" s="139">
        <v>392</v>
      </c>
      <c r="D300" s="127" t="s">
        <v>279</v>
      </c>
      <c r="E300" s="140" t="s">
        <v>804</v>
      </c>
    </row>
    <row r="301" spans="2:5" ht="24">
      <c r="B301" s="139">
        <v>393</v>
      </c>
      <c r="D301" s="127" t="s">
        <v>280</v>
      </c>
      <c r="E301" s="140" t="s">
        <v>805</v>
      </c>
    </row>
    <row r="302" spans="2:5" ht="24">
      <c r="B302" s="139">
        <v>394</v>
      </c>
      <c r="D302" s="127" t="s">
        <v>281</v>
      </c>
      <c r="E302" s="140" t="s">
        <v>806</v>
      </c>
    </row>
    <row r="303" spans="2:5" ht="24">
      <c r="B303" s="139">
        <v>395</v>
      </c>
      <c r="D303" s="127" t="s">
        <v>282</v>
      </c>
      <c r="E303" s="140" t="s">
        <v>807</v>
      </c>
    </row>
    <row r="304" spans="2:5" ht="24">
      <c r="B304" s="139">
        <v>396</v>
      </c>
      <c r="D304" s="127" t="s">
        <v>283</v>
      </c>
      <c r="E304" s="140" t="s">
        <v>808</v>
      </c>
    </row>
    <row r="305" spans="2:5" ht="24">
      <c r="B305" s="139">
        <v>397</v>
      </c>
      <c r="D305" s="127" t="s">
        <v>284</v>
      </c>
      <c r="E305" s="140" t="s">
        <v>809</v>
      </c>
    </row>
    <row r="306" spans="2:5" ht="24">
      <c r="B306" s="139">
        <v>398</v>
      </c>
      <c r="D306" s="127" t="s">
        <v>285</v>
      </c>
      <c r="E306" s="140" t="s">
        <v>810</v>
      </c>
    </row>
    <row r="307" spans="2:5" ht="24">
      <c r="B307" s="139">
        <v>399</v>
      </c>
      <c r="D307" s="127" t="s">
        <v>286</v>
      </c>
      <c r="E307" s="140" t="s">
        <v>811</v>
      </c>
    </row>
    <row r="308" spans="2:5" ht="24">
      <c r="B308" s="139">
        <v>400</v>
      </c>
      <c r="D308" s="127" t="s">
        <v>287</v>
      </c>
      <c r="E308" s="140" t="s">
        <v>812</v>
      </c>
    </row>
    <row r="309" spans="2:5" ht="24">
      <c r="B309" s="139">
        <v>401</v>
      </c>
      <c r="D309" s="127" t="s">
        <v>288</v>
      </c>
      <c r="E309" s="140" t="s">
        <v>813</v>
      </c>
    </row>
    <row r="310" spans="2:5" ht="24">
      <c r="B310" s="139">
        <v>402</v>
      </c>
      <c r="D310" s="127" t="s">
        <v>289</v>
      </c>
      <c r="E310" s="140" t="s">
        <v>814</v>
      </c>
    </row>
    <row r="311" spans="2:5" ht="24">
      <c r="B311" s="139">
        <v>403</v>
      </c>
      <c r="D311" s="127" t="s">
        <v>290</v>
      </c>
      <c r="E311" s="140" t="s">
        <v>815</v>
      </c>
    </row>
    <row r="312" spans="2:5" ht="24">
      <c r="B312" s="139">
        <v>404</v>
      </c>
      <c r="D312" s="127" t="s">
        <v>291</v>
      </c>
      <c r="E312" s="140" t="s">
        <v>816</v>
      </c>
    </row>
    <row r="313" spans="2:5">
      <c r="B313" s="139">
        <v>405</v>
      </c>
      <c r="D313" s="127" t="s">
        <v>514</v>
      </c>
      <c r="E313" s="140" t="s">
        <v>817</v>
      </c>
    </row>
    <row r="314" spans="2:5">
      <c r="B314" s="139">
        <v>406</v>
      </c>
      <c r="D314" s="127" t="s">
        <v>515</v>
      </c>
      <c r="E314" s="140" t="s">
        <v>817</v>
      </c>
    </row>
    <row r="315" spans="2:5">
      <c r="B315" s="139">
        <v>407</v>
      </c>
      <c r="D315" s="127" t="s">
        <v>292</v>
      </c>
      <c r="E315" s="140" t="s">
        <v>818</v>
      </c>
    </row>
    <row r="316" spans="2:5" ht="24">
      <c r="B316" s="139">
        <v>408</v>
      </c>
      <c r="D316" s="127" t="s">
        <v>293</v>
      </c>
      <c r="E316" s="140" t="s">
        <v>819</v>
      </c>
    </row>
    <row r="317" spans="2:5">
      <c r="B317" s="139">
        <v>409</v>
      </c>
      <c r="D317" s="127" t="s">
        <v>294</v>
      </c>
      <c r="E317" s="140" t="s">
        <v>820</v>
      </c>
    </row>
    <row r="318" spans="2:5" ht="24">
      <c r="B318" s="139">
        <v>410</v>
      </c>
      <c r="D318" s="127" t="s">
        <v>295</v>
      </c>
      <c r="E318" s="140" t="s">
        <v>821</v>
      </c>
    </row>
    <row r="319" spans="2:5">
      <c r="B319" s="139">
        <v>411</v>
      </c>
      <c r="D319" s="127" t="s">
        <v>516</v>
      </c>
      <c r="E319" s="140" t="s">
        <v>822</v>
      </c>
    </row>
    <row r="320" spans="2:5" ht="24">
      <c r="B320" s="139">
        <v>412</v>
      </c>
      <c r="D320" s="127" t="s">
        <v>517</v>
      </c>
      <c r="E320" s="140" t="s">
        <v>823</v>
      </c>
    </row>
    <row r="321" spans="1:6">
      <c r="B321" s="139">
        <v>413</v>
      </c>
      <c r="D321" s="127" t="s">
        <v>296</v>
      </c>
      <c r="E321" s="140" t="s">
        <v>824</v>
      </c>
    </row>
    <row r="322" spans="1:6" ht="24">
      <c r="B322" s="139">
        <v>414</v>
      </c>
      <c r="D322" s="127" t="s">
        <v>297</v>
      </c>
      <c r="E322" s="140" t="s">
        <v>825</v>
      </c>
    </row>
    <row r="323" spans="1:6">
      <c r="B323" s="139">
        <v>415</v>
      </c>
      <c r="D323" s="127" t="s">
        <v>298</v>
      </c>
      <c r="E323" s="140" t="s">
        <v>826</v>
      </c>
    </row>
    <row r="324" spans="1:6" ht="36">
      <c r="B324" s="139">
        <v>416</v>
      </c>
      <c r="D324" s="127" t="s">
        <v>299</v>
      </c>
      <c r="E324" s="140" t="s">
        <v>827</v>
      </c>
    </row>
    <row r="325" spans="1:6">
      <c r="B325" s="139">
        <v>417</v>
      </c>
      <c r="D325" s="127" t="s">
        <v>300</v>
      </c>
      <c r="E325" s="140" t="s">
        <v>828</v>
      </c>
    </row>
    <row r="326" spans="1:6" ht="24">
      <c r="B326" s="139">
        <v>418</v>
      </c>
      <c r="D326" s="127" t="s">
        <v>301</v>
      </c>
      <c r="E326" s="140" t="s">
        <v>829</v>
      </c>
    </row>
    <row r="327" spans="1:6" ht="24">
      <c r="B327" s="139">
        <v>419</v>
      </c>
      <c r="D327" s="127" t="s">
        <v>302</v>
      </c>
      <c r="E327" s="140" t="s">
        <v>830</v>
      </c>
    </row>
    <row r="328" spans="1:6" ht="24">
      <c r="B328" s="139">
        <v>420</v>
      </c>
      <c r="D328" s="127" t="s">
        <v>303</v>
      </c>
      <c r="E328" s="140" t="s">
        <v>831</v>
      </c>
    </row>
    <row r="329" spans="1:6">
      <c r="B329" s="139">
        <v>421</v>
      </c>
      <c r="D329" s="127" t="s">
        <v>304</v>
      </c>
      <c r="E329" s="140" t="s">
        <v>832</v>
      </c>
    </row>
    <row r="330" spans="1:6">
      <c r="B330" s="139">
        <v>422</v>
      </c>
      <c r="D330" s="127" t="s">
        <v>305</v>
      </c>
      <c r="E330" s="140" t="s">
        <v>833</v>
      </c>
    </row>
    <row r="331" spans="1:6">
      <c r="B331" s="139">
        <v>423</v>
      </c>
      <c r="D331" s="127" t="s">
        <v>306</v>
      </c>
      <c r="E331" s="140" t="s">
        <v>834</v>
      </c>
    </row>
    <row r="332" spans="1:6">
      <c r="B332" s="139">
        <v>424</v>
      </c>
      <c r="D332" s="127" t="s">
        <v>307</v>
      </c>
      <c r="E332" s="140" t="s">
        <v>835</v>
      </c>
    </row>
    <row r="333" spans="1:6">
      <c r="B333" s="139">
        <v>425</v>
      </c>
      <c r="D333" s="127" t="s">
        <v>308</v>
      </c>
      <c r="E333" s="140" t="s">
        <v>836</v>
      </c>
    </row>
    <row r="334" spans="1:6">
      <c r="B334" s="139">
        <v>426</v>
      </c>
      <c r="D334" s="127" t="s">
        <v>309</v>
      </c>
      <c r="E334" s="140" t="s">
        <v>837</v>
      </c>
    </row>
    <row r="335" spans="1:6">
      <c r="B335" s="139">
        <v>427</v>
      </c>
      <c r="D335" s="127" t="s">
        <v>518</v>
      </c>
      <c r="E335" s="140" t="s">
        <v>838</v>
      </c>
    </row>
    <row r="336" spans="1:6" ht="38.25">
      <c r="A336" s="134"/>
      <c r="B336" s="139">
        <v>428</v>
      </c>
      <c r="C336" s="137" t="s">
        <v>946</v>
      </c>
      <c r="D336" s="134" t="s">
        <v>982</v>
      </c>
      <c r="E336" s="134" t="s">
        <v>983</v>
      </c>
      <c r="F336" s="135"/>
    </row>
    <row r="337" spans="2:5" ht="36">
      <c r="B337" s="139">
        <v>429</v>
      </c>
      <c r="D337" s="127" t="s">
        <v>310</v>
      </c>
      <c r="E337" s="140" t="s">
        <v>839</v>
      </c>
    </row>
    <row r="338" spans="2:5">
      <c r="B338" s="139">
        <v>430</v>
      </c>
      <c r="D338" s="127" t="s">
        <v>311</v>
      </c>
      <c r="E338" s="140" t="s">
        <v>840</v>
      </c>
    </row>
    <row r="339" spans="2:5">
      <c r="B339" s="139">
        <v>431</v>
      </c>
      <c r="D339" s="127" t="s">
        <v>312</v>
      </c>
      <c r="E339" s="140" t="s">
        <v>841</v>
      </c>
    </row>
    <row r="340" spans="2:5">
      <c r="B340" s="139">
        <v>432</v>
      </c>
      <c r="D340" s="127" t="s">
        <v>313</v>
      </c>
      <c r="E340" s="140" t="s">
        <v>842</v>
      </c>
    </row>
    <row r="341" spans="2:5" ht="24">
      <c r="B341" s="139">
        <v>433</v>
      </c>
      <c r="D341" s="127" t="s">
        <v>314</v>
      </c>
      <c r="E341" s="140" t="s">
        <v>843</v>
      </c>
    </row>
    <row r="342" spans="2:5">
      <c r="B342" s="139">
        <v>434</v>
      </c>
      <c r="D342" s="127" t="s">
        <v>315</v>
      </c>
      <c r="E342" s="140" t="s">
        <v>844</v>
      </c>
    </row>
    <row r="343" spans="2:5">
      <c r="B343" s="139">
        <v>435</v>
      </c>
      <c r="D343" s="127" t="s">
        <v>316</v>
      </c>
      <c r="E343" s="140" t="s">
        <v>845</v>
      </c>
    </row>
    <row r="344" spans="2:5">
      <c r="B344" s="139">
        <v>436</v>
      </c>
      <c r="D344" s="127" t="s">
        <v>317</v>
      </c>
      <c r="E344" s="140" t="s">
        <v>846</v>
      </c>
    </row>
    <row r="345" spans="2:5">
      <c r="B345" s="139">
        <v>437</v>
      </c>
      <c r="D345" s="127" t="s">
        <v>318</v>
      </c>
      <c r="E345" s="140" t="s">
        <v>847</v>
      </c>
    </row>
    <row r="346" spans="2:5">
      <c r="B346" s="139">
        <v>438</v>
      </c>
      <c r="D346" s="127" t="s">
        <v>519</v>
      </c>
      <c r="E346" s="140" t="s">
        <v>848</v>
      </c>
    </row>
    <row r="347" spans="2:5">
      <c r="B347" s="139">
        <v>439</v>
      </c>
      <c r="D347" s="127" t="s">
        <v>319</v>
      </c>
      <c r="E347" s="140" t="s">
        <v>849</v>
      </c>
    </row>
    <row r="348" spans="2:5">
      <c r="B348" s="139">
        <v>440</v>
      </c>
      <c r="D348" s="127" t="s">
        <v>520</v>
      </c>
      <c r="E348" s="140" t="s">
        <v>850</v>
      </c>
    </row>
    <row r="349" spans="2:5" ht="24">
      <c r="B349" s="139">
        <v>441</v>
      </c>
      <c r="D349" s="127" t="s">
        <v>320</v>
      </c>
      <c r="E349" s="140" t="s">
        <v>851</v>
      </c>
    </row>
    <row r="350" spans="2:5">
      <c r="B350" s="139">
        <v>442</v>
      </c>
      <c r="D350" s="127" t="s">
        <v>321</v>
      </c>
      <c r="E350" s="140" t="s">
        <v>852</v>
      </c>
    </row>
    <row r="351" spans="2:5">
      <c r="B351" s="139">
        <v>443</v>
      </c>
      <c r="D351" s="127" t="s">
        <v>322</v>
      </c>
      <c r="E351" s="140" t="s">
        <v>853</v>
      </c>
    </row>
    <row r="352" spans="2:5">
      <c r="B352" s="139">
        <v>444</v>
      </c>
      <c r="D352" s="127" t="s">
        <v>323</v>
      </c>
      <c r="E352" s="140" t="s">
        <v>854</v>
      </c>
    </row>
    <row r="353" spans="2:5" ht="36">
      <c r="B353" s="139">
        <v>445</v>
      </c>
      <c r="D353" s="127" t="s">
        <v>390</v>
      </c>
      <c r="E353" s="140" t="s">
        <v>855</v>
      </c>
    </row>
    <row r="354" spans="2:5">
      <c r="B354" s="139">
        <v>446</v>
      </c>
      <c r="D354" s="127" t="s">
        <v>324</v>
      </c>
      <c r="E354" s="140" t="s">
        <v>856</v>
      </c>
    </row>
    <row r="355" spans="2:5">
      <c r="B355" s="139">
        <v>447</v>
      </c>
      <c r="D355" s="127" t="s">
        <v>325</v>
      </c>
      <c r="E355" s="140" t="s">
        <v>857</v>
      </c>
    </row>
    <row r="356" spans="2:5">
      <c r="B356" s="139">
        <v>448</v>
      </c>
      <c r="D356" s="127" t="s">
        <v>326</v>
      </c>
      <c r="E356" s="140" t="s">
        <v>858</v>
      </c>
    </row>
    <row r="357" spans="2:5">
      <c r="B357" s="139">
        <v>449</v>
      </c>
      <c r="D357" s="127" t="s">
        <v>327</v>
      </c>
      <c r="E357" s="140" t="s">
        <v>859</v>
      </c>
    </row>
    <row r="358" spans="2:5">
      <c r="B358" s="139">
        <v>450</v>
      </c>
      <c r="D358" s="127" t="s">
        <v>328</v>
      </c>
      <c r="E358" s="140" t="s">
        <v>860</v>
      </c>
    </row>
    <row r="359" spans="2:5" ht="24">
      <c r="B359" s="139">
        <v>451</v>
      </c>
      <c r="D359" s="127" t="s">
        <v>329</v>
      </c>
      <c r="E359" s="140" t="s">
        <v>861</v>
      </c>
    </row>
    <row r="360" spans="2:5">
      <c r="B360" s="139">
        <v>452</v>
      </c>
      <c r="D360" s="127" t="s">
        <v>330</v>
      </c>
      <c r="E360" s="140" t="s">
        <v>862</v>
      </c>
    </row>
    <row r="361" spans="2:5">
      <c r="B361" s="139">
        <v>453</v>
      </c>
      <c r="D361" s="127" t="s">
        <v>331</v>
      </c>
      <c r="E361" s="140" t="s">
        <v>863</v>
      </c>
    </row>
    <row r="362" spans="2:5">
      <c r="B362" s="139">
        <v>454</v>
      </c>
      <c r="D362" s="127" t="s">
        <v>332</v>
      </c>
      <c r="E362" s="140" t="s">
        <v>864</v>
      </c>
    </row>
    <row r="363" spans="2:5" ht="24">
      <c r="B363" s="139">
        <v>455</v>
      </c>
      <c r="D363" s="127" t="s">
        <v>521</v>
      </c>
      <c r="E363" s="140" t="s">
        <v>865</v>
      </c>
    </row>
    <row r="364" spans="2:5">
      <c r="B364" s="139">
        <v>456</v>
      </c>
      <c r="D364" s="127" t="s">
        <v>333</v>
      </c>
      <c r="E364" s="140" t="s">
        <v>601</v>
      </c>
    </row>
    <row r="365" spans="2:5">
      <c r="B365" s="139">
        <v>457</v>
      </c>
      <c r="D365" s="127" t="s">
        <v>334</v>
      </c>
      <c r="E365" s="140" t="s">
        <v>866</v>
      </c>
    </row>
    <row r="366" spans="2:5">
      <c r="B366" s="139">
        <v>458</v>
      </c>
      <c r="D366" s="127" t="s">
        <v>335</v>
      </c>
      <c r="E366" s="140" t="s">
        <v>867</v>
      </c>
    </row>
    <row r="367" spans="2:5">
      <c r="B367" s="139">
        <v>459</v>
      </c>
      <c r="D367" s="127" t="s">
        <v>522</v>
      </c>
      <c r="E367" s="140" t="s">
        <v>868</v>
      </c>
    </row>
    <row r="368" spans="2:5" ht="36">
      <c r="B368" s="139">
        <v>460</v>
      </c>
      <c r="D368" s="127" t="s">
        <v>523</v>
      </c>
      <c r="E368" s="140" t="s">
        <v>869</v>
      </c>
    </row>
    <row r="369" spans="1:6">
      <c r="B369" s="139">
        <v>461</v>
      </c>
      <c r="D369" s="127" t="s">
        <v>336</v>
      </c>
      <c r="E369" s="140" t="s">
        <v>602</v>
      </c>
    </row>
    <row r="370" spans="1:6">
      <c r="B370" s="139">
        <v>462</v>
      </c>
      <c r="D370" s="127" t="s">
        <v>337</v>
      </c>
      <c r="E370" s="140" t="s">
        <v>870</v>
      </c>
    </row>
    <row r="371" spans="1:6">
      <c r="B371" s="139">
        <v>463</v>
      </c>
      <c r="D371" s="127" t="s">
        <v>338</v>
      </c>
      <c r="E371" s="140" t="s">
        <v>871</v>
      </c>
    </row>
    <row r="372" spans="1:6" ht="36">
      <c r="B372" s="139">
        <v>464</v>
      </c>
      <c r="D372" s="127" t="s">
        <v>339</v>
      </c>
      <c r="E372" s="140" t="s">
        <v>872</v>
      </c>
    </row>
    <row r="373" spans="1:6">
      <c r="B373" s="139">
        <v>465</v>
      </c>
      <c r="D373" s="127" t="s">
        <v>340</v>
      </c>
      <c r="E373" s="140" t="s">
        <v>873</v>
      </c>
    </row>
    <row r="374" spans="1:6">
      <c r="A374" s="129"/>
      <c r="B374" s="139">
        <v>466</v>
      </c>
      <c r="C374" s="138" t="s">
        <v>532</v>
      </c>
      <c r="D374" s="128" t="s">
        <v>926</v>
      </c>
      <c r="E374" s="128" t="s">
        <v>984</v>
      </c>
      <c r="F374" s="130"/>
    </row>
    <row r="375" spans="1:6">
      <c r="A375" s="129"/>
      <c r="B375" s="139">
        <v>467</v>
      </c>
      <c r="C375" s="138" t="s">
        <v>532</v>
      </c>
      <c r="D375" s="128" t="s">
        <v>985</v>
      </c>
      <c r="E375" s="128" t="s">
        <v>927</v>
      </c>
      <c r="F375" s="130"/>
    </row>
    <row r="376" spans="1:6" ht="12.75">
      <c r="B376" s="139">
        <v>468</v>
      </c>
      <c r="D376" s="127" t="s">
        <v>341</v>
      </c>
      <c r="E376" s="168" t="s">
        <v>933</v>
      </c>
    </row>
    <row r="377" spans="1:6">
      <c r="B377" s="139">
        <v>469</v>
      </c>
      <c r="D377" s="127" t="s">
        <v>342</v>
      </c>
      <c r="E377" s="140" t="s">
        <v>874</v>
      </c>
    </row>
    <row r="378" spans="1:6">
      <c r="B378" s="139">
        <v>470</v>
      </c>
      <c r="D378" s="127" t="s">
        <v>343</v>
      </c>
      <c r="E378" s="140" t="s">
        <v>603</v>
      </c>
    </row>
    <row r="379" spans="1:6" ht="24">
      <c r="B379" s="139">
        <v>471</v>
      </c>
      <c r="D379" s="127" t="s">
        <v>344</v>
      </c>
      <c r="E379" s="140" t="s">
        <v>875</v>
      </c>
    </row>
    <row r="380" spans="1:6">
      <c r="B380" s="139">
        <v>472</v>
      </c>
      <c r="D380" s="127" t="s">
        <v>345</v>
      </c>
      <c r="E380" s="140" t="s">
        <v>604</v>
      </c>
    </row>
    <row r="381" spans="1:6" ht="24">
      <c r="B381" s="139">
        <v>473</v>
      </c>
      <c r="D381" s="127" t="s">
        <v>346</v>
      </c>
      <c r="E381" s="140" t="s">
        <v>876</v>
      </c>
    </row>
    <row r="382" spans="1:6">
      <c r="B382" s="139">
        <v>474</v>
      </c>
      <c r="D382" s="127" t="s">
        <v>347</v>
      </c>
      <c r="E382" s="140" t="s">
        <v>605</v>
      </c>
    </row>
    <row r="383" spans="1:6">
      <c r="B383" s="139">
        <v>475</v>
      </c>
      <c r="D383" s="127" t="s">
        <v>348</v>
      </c>
      <c r="E383" s="140" t="s">
        <v>877</v>
      </c>
    </row>
    <row r="384" spans="1:6">
      <c r="B384" s="139">
        <v>476</v>
      </c>
      <c r="D384" s="127" t="s">
        <v>349</v>
      </c>
      <c r="E384" s="140" t="s">
        <v>878</v>
      </c>
    </row>
    <row r="385" spans="2:5">
      <c r="B385" s="139">
        <v>477</v>
      </c>
      <c r="D385" s="127" t="s">
        <v>350</v>
      </c>
      <c r="E385" s="140" t="s">
        <v>879</v>
      </c>
    </row>
    <row r="386" spans="2:5">
      <c r="B386" s="139">
        <v>478</v>
      </c>
      <c r="D386" s="127" t="s">
        <v>351</v>
      </c>
      <c r="E386" s="140" t="s">
        <v>880</v>
      </c>
    </row>
    <row r="387" spans="2:5">
      <c r="B387" s="139">
        <v>479</v>
      </c>
      <c r="D387" s="127" t="s">
        <v>352</v>
      </c>
      <c r="E387" s="140" t="s">
        <v>881</v>
      </c>
    </row>
    <row r="388" spans="2:5">
      <c r="B388" s="139">
        <v>480</v>
      </c>
      <c r="D388" s="127" t="s">
        <v>353</v>
      </c>
      <c r="E388" s="140" t="s">
        <v>353</v>
      </c>
    </row>
    <row r="389" spans="2:5">
      <c r="B389" s="139">
        <v>481</v>
      </c>
      <c r="D389" s="127" t="s">
        <v>524</v>
      </c>
      <c r="E389" s="140" t="s">
        <v>882</v>
      </c>
    </row>
    <row r="390" spans="2:5" ht="24">
      <c r="B390" s="139">
        <v>482</v>
      </c>
      <c r="D390" s="127" t="s">
        <v>354</v>
      </c>
      <c r="E390" s="140" t="s">
        <v>883</v>
      </c>
    </row>
    <row r="391" spans="2:5">
      <c r="B391" s="139">
        <v>483</v>
      </c>
      <c r="D391" s="127" t="s">
        <v>355</v>
      </c>
      <c r="E391" s="140" t="s">
        <v>355</v>
      </c>
    </row>
    <row r="392" spans="2:5">
      <c r="B392" s="139">
        <v>484</v>
      </c>
      <c r="D392" s="127" t="s">
        <v>525</v>
      </c>
    </row>
    <row r="393" spans="2:5">
      <c r="B393" s="139">
        <v>485</v>
      </c>
      <c r="D393" s="127" t="s">
        <v>356</v>
      </c>
      <c r="E393" s="140" t="s">
        <v>606</v>
      </c>
    </row>
    <row r="394" spans="2:5">
      <c r="B394" s="139">
        <v>486</v>
      </c>
      <c r="D394" s="127" t="s">
        <v>526</v>
      </c>
      <c r="E394" s="140" t="s">
        <v>607</v>
      </c>
    </row>
    <row r="395" spans="2:5">
      <c r="B395" s="139">
        <v>487</v>
      </c>
      <c r="D395" s="127" t="s">
        <v>527</v>
      </c>
      <c r="E395" s="140" t="s">
        <v>608</v>
      </c>
    </row>
    <row r="396" spans="2:5">
      <c r="B396" s="139">
        <v>488</v>
      </c>
      <c r="D396" s="127" t="s">
        <v>528</v>
      </c>
      <c r="E396" s="140" t="s">
        <v>607</v>
      </c>
    </row>
    <row r="397" spans="2:5">
      <c r="B397" s="139">
        <v>489</v>
      </c>
      <c r="D397" s="127" t="s">
        <v>357</v>
      </c>
      <c r="E397" s="140" t="s">
        <v>609</v>
      </c>
    </row>
    <row r="398" spans="2:5">
      <c r="B398" s="139">
        <v>490</v>
      </c>
      <c r="D398" s="127" t="s">
        <v>358</v>
      </c>
      <c r="E398" s="140" t="s">
        <v>884</v>
      </c>
    </row>
    <row r="399" spans="2:5">
      <c r="B399" s="139">
        <v>491</v>
      </c>
      <c r="D399" s="127" t="s">
        <v>359</v>
      </c>
      <c r="E399" s="140" t="s">
        <v>885</v>
      </c>
    </row>
    <row r="400" spans="2:5">
      <c r="B400" s="139">
        <v>492</v>
      </c>
      <c r="D400" s="127" t="s">
        <v>360</v>
      </c>
      <c r="E400" s="140" t="s">
        <v>610</v>
      </c>
    </row>
    <row r="401" spans="1:6">
      <c r="B401" s="139">
        <v>493</v>
      </c>
      <c r="D401" s="127" t="s">
        <v>361</v>
      </c>
    </row>
    <row r="402" spans="1:6">
      <c r="B402" s="139">
        <v>494</v>
      </c>
      <c r="D402" s="127" t="s">
        <v>362</v>
      </c>
    </row>
    <row r="403" spans="1:6">
      <c r="B403" s="139">
        <v>495</v>
      </c>
      <c r="D403" s="127" t="s">
        <v>363</v>
      </c>
      <c r="E403" s="140" t="s">
        <v>886</v>
      </c>
    </row>
    <row r="404" spans="1:6">
      <c r="B404" s="139">
        <v>496</v>
      </c>
      <c r="D404" s="127" t="s">
        <v>529</v>
      </c>
      <c r="E404" s="140" t="s">
        <v>887</v>
      </c>
    </row>
    <row r="405" spans="1:6">
      <c r="B405" s="139">
        <v>497</v>
      </c>
      <c r="D405" s="127" t="s">
        <v>364</v>
      </c>
      <c r="E405" s="140" t="s">
        <v>888</v>
      </c>
    </row>
    <row r="406" spans="1:6">
      <c r="B406" s="139">
        <v>498</v>
      </c>
      <c r="D406" s="127" t="s">
        <v>452</v>
      </c>
      <c r="E406" s="140" t="s">
        <v>889</v>
      </c>
    </row>
    <row r="407" spans="1:6">
      <c r="B407" s="139">
        <v>499</v>
      </c>
      <c r="D407" s="127" t="s">
        <v>365</v>
      </c>
      <c r="E407" s="140" t="s">
        <v>888</v>
      </c>
    </row>
    <row r="408" spans="1:6" ht="25.5">
      <c r="A408" s="134"/>
      <c r="B408" s="139">
        <v>500</v>
      </c>
      <c r="C408" s="134"/>
      <c r="D408" s="134" t="s">
        <v>986</v>
      </c>
      <c r="E408" s="134" t="s">
        <v>987</v>
      </c>
      <c r="F408" s="135"/>
    </row>
    <row r="409" spans="1:6">
      <c r="B409" s="139">
        <v>501</v>
      </c>
      <c r="D409" s="127" t="s">
        <v>366</v>
      </c>
      <c r="E409" s="140" t="s">
        <v>366</v>
      </c>
    </row>
    <row r="410" spans="1:6">
      <c r="B410" s="139">
        <v>502</v>
      </c>
      <c r="D410" s="127" t="s">
        <v>367</v>
      </c>
      <c r="E410" s="140" t="s">
        <v>890</v>
      </c>
    </row>
    <row r="411" spans="1:6">
      <c r="B411" s="139">
        <v>503</v>
      </c>
      <c r="D411" s="127" t="s">
        <v>368</v>
      </c>
      <c r="E411" s="140" t="s">
        <v>891</v>
      </c>
    </row>
    <row r="412" spans="1:6">
      <c r="B412" s="139">
        <v>504</v>
      </c>
      <c r="D412" s="127" t="s">
        <v>530</v>
      </c>
      <c r="E412" s="140" t="s">
        <v>892</v>
      </c>
    </row>
    <row r="413" spans="1:6">
      <c r="B413" s="139">
        <v>505</v>
      </c>
      <c r="D413" s="127" t="s">
        <v>369</v>
      </c>
      <c r="E413" s="140" t="s">
        <v>893</v>
      </c>
    </row>
    <row r="414" spans="1:6">
      <c r="B414" s="139">
        <v>506</v>
      </c>
      <c r="D414" s="127" t="s">
        <v>370</v>
      </c>
      <c r="E414" s="140" t="s">
        <v>894</v>
      </c>
    </row>
    <row r="415" spans="1:6">
      <c r="B415" s="139">
        <v>507</v>
      </c>
      <c r="D415" s="127" t="s">
        <v>371</v>
      </c>
      <c r="E415" s="140" t="s">
        <v>895</v>
      </c>
    </row>
    <row r="416" spans="1:6">
      <c r="B416" s="139">
        <v>508</v>
      </c>
      <c r="D416" s="127" t="s">
        <v>531</v>
      </c>
      <c r="E416" s="140" t="s">
        <v>896</v>
      </c>
    </row>
    <row r="417" spans="1:6" ht="24">
      <c r="B417" s="139">
        <v>509</v>
      </c>
      <c r="D417" s="127" t="s">
        <v>372</v>
      </c>
      <c r="E417" s="140" t="s">
        <v>897</v>
      </c>
    </row>
    <row r="418" spans="1:6">
      <c r="B418" s="139">
        <v>510</v>
      </c>
      <c r="D418" s="127" t="s">
        <v>373</v>
      </c>
      <c r="E418" s="140" t="s">
        <v>895</v>
      </c>
    </row>
    <row r="419" spans="1:6">
      <c r="B419" s="139">
        <v>511</v>
      </c>
      <c r="D419" s="127" t="s">
        <v>374</v>
      </c>
      <c r="E419" s="140" t="s">
        <v>898</v>
      </c>
    </row>
    <row r="420" spans="1:6">
      <c r="B420" s="139">
        <v>512</v>
      </c>
      <c r="D420" s="127" t="s">
        <v>375</v>
      </c>
      <c r="E420" s="140" t="s">
        <v>899</v>
      </c>
    </row>
    <row r="421" spans="1:6">
      <c r="B421" s="139">
        <v>513</v>
      </c>
      <c r="D421" s="127" t="s">
        <v>376</v>
      </c>
      <c r="E421" s="140" t="s">
        <v>900</v>
      </c>
    </row>
    <row r="422" spans="1:6" s="134" customFormat="1" ht="12.75">
      <c r="A422" s="126"/>
      <c r="B422" s="139">
        <v>514</v>
      </c>
      <c r="C422" s="136"/>
      <c r="D422" s="127" t="s">
        <v>377</v>
      </c>
      <c r="E422" s="140" t="s">
        <v>901</v>
      </c>
      <c r="F422" s="126"/>
    </row>
    <row r="423" spans="1:6" s="134" customFormat="1" ht="12.75">
      <c r="A423" s="126"/>
      <c r="B423" s="139">
        <v>515</v>
      </c>
      <c r="C423" s="136"/>
      <c r="D423" s="127" t="s">
        <v>378</v>
      </c>
      <c r="E423" s="140" t="s">
        <v>902</v>
      </c>
      <c r="F423" s="126"/>
    </row>
    <row r="424" spans="1:6" s="129" customFormat="1">
      <c r="A424" s="126"/>
      <c r="B424" s="139">
        <v>516</v>
      </c>
      <c r="C424" s="136"/>
      <c r="D424" s="127" t="s">
        <v>379</v>
      </c>
      <c r="E424" s="140" t="s">
        <v>894</v>
      </c>
      <c r="F424" s="126"/>
    </row>
    <row r="425" spans="1:6" s="129" customFormat="1" ht="24">
      <c r="A425" s="126"/>
      <c r="B425" s="139">
        <v>517</v>
      </c>
      <c r="C425" s="136"/>
      <c r="D425" s="127" t="s">
        <v>380</v>
      </c>
      <c r="E425" s="140" t="s">
        <v>903</v>
      </c>
      <c r="F425" s="126"/>
    </row>
    <row r="426" spans="1:6" s="129" customFormat="1" ht="36">
      <c r="A426" s="126"/>
      <c r="B426" s="139">
        <v>518</v>
      </c>
      <c r="C426" s="136"/>
      <c r="D426" s="127" t="s">
        <v>381</v>
      </c>
      <c r="E426" s="140" t="s">
        <v>904</v>
      </c>
      <c r="F426" s="126"/>
    </row>
    <row r="427" spans="1:6" s="129" customFormat="1">
      <c r="A427" s="126"/>
      <c r="B427" s="139">
        <v>519</v>
      </c>
      <c r="C427" s="136"/>
      <c r="D427" s="127" t="s">
        <v>382</v>
      </c>
      <c r="E427" s="140" t="s">
        <v>905</v>
      </c>
      <c r="F427" s="126"/>
    </row>
    <row r="428" spans="1:6" s="129" customFormat="1" ht="36">
      <c r="A428" s="126"/>
      <c r="B428" s="139">
        <v>520</v>
      </c>
      <c r="C428" s="136"/>
      <c r="D428" s="127" t="s">
        <v>383</v>
      </c>
      <c r="E428" s="140" t="s">
        <v>906</v>
      </c>
      <c r="F428" s="126"/>
    </row>
    <row r="429" spans="1:6" s="129" customFormat="1">
      <c r="A429" s="126"/>
      <c r="B429" s="139">
        <v>521</v>
      </c>
      <c r="C429" s="136"/>
      <c r="D429" s="127" t="s">
        <v>384</v>
      </c>
      <c r="E429" s="140" t="s">
        <v>907</v>
      </c>
      <c r="F429" s="126"/>
    </row>
    <row r="430" spans="1:6" s="129" customFormat="1">
      <c r="A430" s="126"/>
      <c r="B430" s="139">
        <v>522</v>
      </c>
      <c r="C430" s="136"/>
      <c r="D430" s="127" t="s">
        <v>385</v>
      </c>
      <c r="E430" s="140" t="s">
        <v>908</v>
      </c>
      <c r="F430" s="126"/>
    </row>
    <row r="431" spans="1:6" s="129" customFormat="1">
      <c r="A431" s="126"/>
      <c r="B431" s="139">
        <v>523</v>
      </c>
      <c r="C431" s="136"/>
      <c r="D431" s="127" t="s">
        <v>386</v>
      </c>
      <c r="E431" s="140" t="s">
        <v>909</v>
      </c>
      <c r="F431" s="126"/>
    </row>
    <row r="432" spans="1:6" s="129" customFormat="1">
      <c r="A432" s="126"/>
      <c r="B432" s="139">
        <v>524</v>
      </c>
      <c r="C432" s="136"/>
      <c r="D432" s="127" t="s">
        <v>387</v>
      </c>
      <c r="E432" s="140" t="s">
        <v>910</v>
      </c>
      <c r="F432" s="126"/>
    </row>
    <row r="433" spans="1:6" s="129" customFormat="1">
      <c r="A433" s="126"/>
      <c r="B433" s="139">
        <v>525</v>
      </c>
      <c r="C433" s="136"/>
      <c r="D433" s="127" t="s">
        <v>388</v>
      </c>
      <c r="E433" s="140" t="s">
        <v>911</v>
      </c>
      <c r="F433" s="126"/>
    </row>
    <row r="434" spans="1:6" s="129" customFormat="1">
      <c r="A434" s="126"/>
      <c r="B434" s="139">
        <v>526</v>
      </c>
      <c r="C434" s="136"/>
      <c r="D434" s="127" t="s">
        <v>389</v>
      </c>
      <c r="E434" s="140" t="s">
        <v>912</v>
      </c>
      <c r="F434" s="126"/>
    </row>
    <row r="435" spans="1:6">
      <c r="B435" s="139">
        <v>527</v>
      </c>
      <c r="D435" s="127" t="s">
        <v>989</v>
      </c>
      <c r="E435" s="140" t="s">
        <v>1001</v>
      </c>
    </row>
  </sheetData>
  <sortState xmlns:xlrd2="http://schemas.microsoft.com/office/spreadsheetml/2017/richdata2" ref="A9:F434">
    <sortCondition ref="E9:E434"/>
  </sortState>
  <phoneticPr fontId="2" type="noConversion"/>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3"/>
  <dimension ref="A1:H121"/>
  <sheetViews>
    <sheetView topLeftCell="A94" zoomScale="85" zoomScaleNormal="85" workbookViewId="0">
      <selection activeCell="H177" sqref="H177"/>
    </sheetView>
  </sheetViews>
  <sheetFormatPr defaultColWidth="9.75" defaultRowHeight="14.25"/>
  <cols>
    <col min="1" max="1" width="9.75" style="93"/>
    <col min="2" max="2" width="9.75" style="94"/>
    <col min="3" max="4" width="9.75" style="95"/>
    <col min="5" max="5" width="9.75" style="94"/>
    <col min="6" max="16384" width="9.75" style="92"/>
  </cols>
  <sheetData>
    <row r="1" spans="1:8">
      <c r="A1" s="89" t="s">
        <v>391</v>
      </c>
      <c r="B1" s="89" t="s">
        <v>392</v>
      </c>
      <c r="C1" s="90" t="s">
        <v>393</v>
      </c>
      <c r="D1" s="90" t="s">
        <v>394</v>
      </c>
      <c r="E1" s="89" t="s">
        <v>395</v>
      </c>
      <c r="F1" s="91" t="s">
        <v>396</v>
      </c>
      <c r="G1" s="91" t="s">
        <v>397</v>
      </c>
      <c r="H1" s="91" t="s">
        <v>398</v>
      </c>
    </row>
    <row r="2" spans="1:8">
      <c r="A2" s="93" t="s">
        <v>990</v>
      </c>
      <c r="B2" s="94" t="s">
        <v>0</v>
      </c>
      <c r="C2" s="95" t="s">
        <v>995</v>
      </c>
      <c r="D2" s="95">
        <v>43375</v>
      </c>
      <c r="E2" s="96">
        <v>43376</v>
      </c>
      <c r="F2" s="95">
        <v>43375</v>
      </c>
      <c r="G2" s="95">
        <v>43379</v>
      </c>
      <c r="H2" s="92">
        <v>1</v>
      </c>
    </row>
    <row r="3" spans="1:8">
      <c r="A3" s="93" t="s">
        <v>449</v>
      </c>
      <c r="B3" s="94" t="s">
        <v>427</v>
      </c>
      <c r="C3" s="95" t="s">
        <v>995</v>
      </c>
      <c r="D3" s="95">
        <v>43379</v>
      </c>
      <c r="E3" s="96">
        <v>43385</v>
      </c>
      <c r="F3" s="95">
        <v>43375</v>
      </c>
      <c r="G3" s="95">
        <v>43379</v>
      </c>
      <c r="H3" s="92">
        <v>0</v>
      </c>
    </row>
    <row r="4" spans="1:8">
      <c r="A4" s="93" t="s">
        <v>449</v>
      </c>
      <c r="B4" s="94" t="s">
        <v>427</v>
      </c>
      <c r="C4" s="95" t="s">
        <v>991</v>
      </c>
      <c r="D4" s="95">
        <v>43379</v>
      </c>
      <c r="E4" s="96">
        <v>43385</v>
      </c>
      <c r="F4" s="95">
        <v>43375</v>
      </c>
      <c r="G4" s="95">
        <v>43379</v>
      </c>
      <c r="H4" s="92">
        <v>0</v>
      </c>
    </row>
    <row r="5" spans="1:8">
      <c r="A5" s="93" t="s">
        <v>449</v>
      </c>
      <c r="B5" s="94" t="s">
        <v>427</v>
      </c>
      <c r="C5" s="95" t="s">
        <v>1051</v>
      </c>
      <c r="D5" s="95">
        <v>43379</v>
      </c>
      <c r="E5" s="96">
        <v>43385</v>
      </c>
      <c r="F5" s="95">
        <v>43375</v>
      </c>
      <c r="G5" s="95">
        <v>43379</v>
      </c>
      <c r="H5" s="92">
        <v>0</v>
      </c>
    </row>
    <row r="6" spans="1:8">
      <c r="A6" s="93" t="s">
        <v>449</v>
      </c>
      <c r="B6" s="94" t="s">
        <v>427</v>
      </c>
      <c r="C6" s="95" t="s">
        <v>995</v>
      </c>
      <c r="D6" s="95">
        <v>43379</v>
      </c>
      <c r="E6" s="96">
        <v>43385</v>
      </c>
      <c r="F6" s="95">
        <v>43380</v>
      </c>
      <c r="G6" s="95">
        <v>43386</v>
      </c>
      <c r="H6" s="92">
        <v>1.3333333333333333</v>
      </c>
    </row>
    <row r="7" spans="1:8">
      <c r="A7" s="93" t="s">
        <v>449</v>
      </c>
      <c r="B7" s="94" t="s">
        <v>427</v>
      </c>
      <c r="C7" s="95" t="s">
        <v>991</v>
      </c>
      <c r="D7" s="95">
        <v>43379</v>
      </c>
      <c r="E7" s="96">
        <v>43385</v>
      </c>
      <c r="F7" s="95">
        <v>43380</v>
      </c>
      <c r="G7" s="95">
        <v>43386</v>
      </c>
      <c r="H7" s="92">
        <v>1.3333333333333333</v>
      </c>
    </row>
    <row r="8" spans="1:8">
      <c r="A8" s="93" t="s">
        <v>449</v>
      </c>
      <c r="B8" s="94" t="s">
        <v>427</v>
      </c>
      <c r="C8" s="95" t="s">
        <v>1051</v>
      </c>
      <c r="D8" s="95">
        <v>43379</v>
      </c>
      <c r="E8" s="96">
        <v>43385</v>
      </c>
      <c r="F8" s="95">
        <v>43380</v>
      </c>
      <c r="G8" s="95">
        <v>43386</v>
      </c>
      <c r="H8" s="92">
        <v>1.3333333333333333</v>
      </c>
    </row>
    <row r="9" spans="1:8">
      <c r="A9" s="93" t="s">
        <v>450</v>
      </c>
      <c r="B9" s="94" t="s">
        <v>438</v>
      </c>
      <c r="C9" s="95" t="s">
        <v>995</v>
      </c>
      <c r="D9" s="95">
        <v>43397</v>
      </c>
      <c r="E9" s="96">
        <v>43397</v>
      </c>
      <c r="F9" s="95">
        <v>43394</v>
      </c>
      <c r="G9" s="95">
        <v>43400</v>
      </c>
      <c r="H9" s="92">
        <v>1</v>
      </c>
    </row>
    <row r="10" spans="1:8">
      <c r="A10" s="93" t="s">
        <v>431</v>
      </c>
      <c r="B10" s="94" t="s">
        <v>439</v>
      </c>
      <c r="C10" s="95" t="s">
        <v>991</v>
      </c>
      <c r="D10" s="95">
        <v>43400</v>
      </c>
      <c r="E10" s="96">
        <v>43404</v>
      </c>
      <c r="F10" s="95">
        <v>43394</v>
      </c>
      <c r="G10" s="95">
        <v>43400</v>
      </c>
      <c r="H10" s="92">
        <v>0</v>
      </c>
    </row>
    <row r="11" spans="1:8">
      <c r="A11" s="93" t="s">
        <v>431</v>
      </c>
      <c r="B11" s="94" t="s">
        <v>439</v>
      </c>
      <c r="C11" s="95" t="s">
        <v>991</v>
      </c>
      <c r="D11" s="95">
        <v>43400</v>
      </c>
      <c r="E11" s="96">
        <v>43404</v>
      </c>
      <c r="F11" s="95">
        <v>43401</v>
      </c>
      <c r="G11" s="95">
        <v>43407</v>
      </c>
      <c r="H11" s="92">
        <v>3</v>
      </c>
    </row>
    <row r="12" spans="1:8">
      <c r="A12" s="93" t="s">
        <v>432</v>
      </c>
      <c r="B12" s="94" t="s">
        <v>440</v>
      </c>
      <c r="C12" s="95" t="s">
        <v>991</v>
      </c>
      <c r="D12" s="95">
        <v>43432</v>
      </c>
      <c r="E12" s="96">
        <v>43432</v>
      </c>
      <c r="F12" s="95">
        <v>43429</v>
      </c>
      <c r="G12" s="95">
        <v>43435</v>
      </c>
      <c r="H12" s="92">
        <v>1</v>
      </c>
    </row>
    <row r="13" spans="1:8">
      <c r="A13" s="93" t="s">
        <v>433</v>
      </c>
      <c r="B13" s="94" t="s">
        <v>441</v>
      </c>
      <c r="C13" s="95" t="s">
        <v>1113</v>
      </c>
      <c r="D13" s="95">
        <v>43468</v>
      </c>
      <c r="E13" s="96">
        <v>43493</v>
      </c>
      <c r="F13" s="95">
        <v>43464</v>
      </c>
      <c r="G13" s="95">
        <v>43470</v>
      </c>
      <c r="H13" s="92">
        <v>2</v>
      </c>
    </row>
    <row r="14" spans="1:8">
      <c r="A14" s="93" t="s">
        <v>433</v>
      </c>
      <c r="B14" s="94" t="s">
        <v>441</v>
      </c>
      <c r="C14" s="95" t="s">
        <v>1113</v>
      </c>
      <c r="D14" s="95">
        <v>43468</v>
      </c>
      <c r="E14" s="96">
        <v>43493</v>
      </c>
      <c r="F14" s="95">
        <v>43471</v>
      </c>
      <c r="G14" s="95">
        <v>43477</v>
      </c>
      <c r="H14" s="92">
        <v>5</v>
      </c>
    </row>
    <row r="15" spans="1:8">
      <c r="A15" s="93" t="s">
        <v>433</v>
      </c>
      <c r="B15" s="94" t="s">
        <v>441</v>
      </c>
      <c r="C15" s="95" t="s">
        <v>1113</v>
      </c>
      <c r="D15" s="95">
        <v>43468</v>
      </c>
      <c r="E15" s="96">
        <v>43493</v>
      </c>
      <c r="F15" s="95">
        <v>43478</v>
      </c>
      <c r="G15" s="95">
        <v>43484</v>
      </c>
      <c r="H15" s="92">
        <v>5</v>
      </c>
    </row>
    <row r="16" spans="1:8">
      <c r="A16" s="93" t="s">
        <v>433</v>
      </c>
      <c r="B16" s="94" t="s">
        <v>441</v>
      </c>
      <c r="C16" s="95" t="s">
        <v>1113</v>
      </c>
      <c r="D16" s="95">
        <v>43468</v>
      </c>
      <c r="E16" s="96">
        <v>43493</v>
      </c>
      <c r="F16" s="95">
        <v>43485</v>
      </c>
      <c r="G16" s="95">
        <v>43491</v>
      </c>
      <c r="H16" s="92">
        <v>5</v>
      </c>
    </row>
    <row r="17" spans="1:8">
      <c r="A17" s="93" t="s">
        <v>433</v>
      </c>
      <c r="B17" s="94" t="s">
        <v>441</v>
      </c>
      <c r="C17" s="95" t="s">
        <v>1113</v>
      </c>
      <c r="D17" s="95">
        <v>43468</v>
      </c>
      <c r="E17" s="96">
        <v>43493</v>
      </c>
      <c r="F17" s="95">
        <v>43492</v>
      </c>
      <c r="G17" s="95">
        <v>43498</v>
      </c>
      <c r="H17" s="92">
        <v>1</v>
      </c>
    </row>
    <row r="18" spans="1:8">
      <c r="A18" s="93" t="s">
        <v>434</v>
      </c>
      <c r="B18" s="94" t="s">
        <v>1002</v>
      </c>
      <c r="C18" s="95" t="s">
        <v>1113</v>
      </c>
      <c r="D18" s="95">
        <v>43397</v>
      </c>
      <c r="E18" s="96">
        <v>43397</v>
      </c>
      <c r="F18" s="95">
        <v>43394</v>
      </c>
      <c r="G18" s="95">
        <v>43400</v>
      </c>
      <c r="H18" s="92">
        <v>1</v>
      </c>
    </row>
    <row r="19" spans="1:8">
      <c r="A19" s="93" t="s">
        <v>435</v>
      </c>
      <c r="B19" s="94" t="s">
        <v>442</v>
      </c>
      <c r="C19" s="95" t="s">
        <v>995</v>
      </c>
      <c r="D19" s="95">
        <v>43501</v>
      </c>
      <c r="E19" s="96">
        <v>43505</v>
      </c>
      <c r="F19" s="95">
        <v>43499</v>
      </c>
      <c r="G19" s="95">
        <v>43505</v>
      </c>
      <c r="H19" s="92">
        <v>2</v>
      </c>
    </row>
    <row r="20" spans="1:8">
      <c r="A20" s="93" t="s">
        <v>436</v>
      </c>
      <c r="B20" s="94" t="s">
        <v>443</v>
      </c>
      <c r="C20" s="95" t="s">
        <v>995</v>
      </c>
      <c r="D20" s="95">
        <v>43508</v>
      </c>
      <c r="E20" s="96">
        <v>43526</v>
      </c>
      <c r="F20" s="95">
        <v>43506</v>
      </c>
      <c r="G20" s="95">
        <v>43512</v>
      </c>
      <c r="H20" s="92">
        <v>4</v>
      </c>
    </row>
    <row r="21" spans="1:8">
      <c r="A21" s="93" t="s">
        <v>436</v>
      </c>
      <c r="B21" s="94" t="s">
        <v>443</v>
      </c>
      <c r="C21" s="95" t="s">
        <v>995</v>
      </c>
      <c r="D21" s="95">
        <v>43508</v>
      </c>
      <c r="E21" s="96">
        <v>43526</v>
      </c>
      <c r="F21" s="95">
        <v>43513</v>
      </c>
      <c r="G21" s="95">
        <v>43519</v>
      </c>
      <c r="H21" s="92">
        <v>5</v>
      </c>
    </row>
    <row r="22" spans="1:8">
      <c r="A22" s="93" t="s">
        <v>436</v>
      </c>
      <c r="B22" s="94" t="s">
        <v>443</v>
      </c>
      <c r="C22" s="95" t="s">
        <v>995</v>
      </c>
      <c r="D22" s="95">
        <v>43508</v>
      </c>
      <c r="E22" s="96">
        <v>43526</v>
      </c>
      <c r="F22" s="95">
        <v>43520</v>
      </c>
      <c r="G22" s="95">
        <v>43526</v>
      </c>
      <c r="H22" s="92">
        <v>4</v>
      </c>
    </row>
    <row r="23" spans="1:8">
      <c r="A23" s="93" t="s">
        <v>437</v>
      </c>
      <c r="B23" s="94" t="s">
        <v>444</v>
      </c>
      <c r="C23" s="95" t="s">
        <v>995</v>
      </c>
      <c r="D23" s="95">
        <v>43526</v>
      </c>
      <c r="E23" s="96">
        <v>43526</v>
      </c>
      <c r="F23" s="95">
        <v>43520</v>
      </c>
      <c r="G23" s="95">
        <v>43526</v>
      </c>
      <c r="H23" s="92">
        <v>0</v>
      </c>
    </row>
    <row r="24" spans="1:8">
      <c r="A24" s="93" t="s">
        <v>451</v>
      </c>
      <c r="B24" s="94" t="s">
        <v>445</v>
      </c>
      <c r="C24" s="95" t="s">
        <v>995</v>
      </c>
      <c r="D24" s="95">
        <v>43526</v>
      </c>
      <c r="E24" s="96">
        <v>43526</v>
      </c>
      <c r="F24" s="95">
        <v>43520</v>
      </c>
      <c r="G24" s="95">
        <v>43526</v>
      </c>
      <c r="H24" s="92">
        <v>0</v>
      </c>
    </row>
    <row r="25" spans="1:8">
      <c r="A25" s="93" t="s">
        <v>996</v>
      </c>
      <c r="B25" s="94" t="s">
        <v>446</v>
      </c>
      <c r="C25" s="95" t="s">
        <v>1052</v>
      </c>
      <c r="D25" s="95">
        <v>43379</v>
      </c>
      <c r="E25" s="96">
        <v>43397</v>
      </c>
      <c r="F25" s="95">
        <v>43375</v>
      </c>
      <c r="G25" s="95">
        <v>43379</v>
      </c>
      <c r="H25" s="92">
        <v>0</v>
      </c>
    </row>
    <row r="26" spans="1:8">
      <c r="A26" s="93" t="s">
        <v>996</v>
      </c>
      <c r="B26" s="94" t="s">
        <v>446</v>
      </c>
      <c r="C26" s="95" t="s">
        <v>1044</v>
      </c>
      <c r="D26" s="95">
        <v>43379</v>
      </c>
      <c r="E26" s="96">
        <v>43397</v>
      </c>
      <c r="F26" s="95">
        <v>43375</v>
      </c>
      <c r="G26" s="95">
        <v>43379</v>
      </c>
      <c r="H26" s="92">
        <v>0</v>
      </c>
    </row>
    <row r="27" spans="1:8">
      <c r="A27" s="93" t="s">
        <v>996</v>
      </c>
      <c r="B27" s="94" t="s">
        <v>446</v>
      </c>
      <c r="C27" s="95" t="s">
        <v>1053</v>
      </c>
      <c r="D27" s="95">
        <v>43379</v>
      </c>
      <c r="E27" s="96">
        <v>43397</v>
      </c>
      <c r="F27" s="95">
        <v>43375</v>
      </c>
      <c r="G27" s="95">
        <v>43379</v>
      </c>
      <c r="H27" s="92">
        <v>0</v>
      </c>
    </row>
    <row r="28" spans="1:8">
      <c r="A28" s="93" t="s">
        <v>996</v>
      </c>
      <c r="B28" s="94" t="s">
        <v>446</v>
      </c>
      <c r="C28" s="95" t="s">
        <v>1052</v>
      </c>
      <c r="D28" s="95">
        <v>43379</v>
      </c>
      <c r="E28" s="96">
        <v>43397</v>
      </c>
      <c r="F28" s="95">
        <v>43380</v>
      </c>
      <c r="G28" s="95">
        <v>43386</v>
      </c>
      <c r="H28" s="92">
        <v>1.3333333333333333</v>
      </c>
    </row>
    <row r="29" spans="1:8">
      <c r="A29" s="93" t="s">
        <v>996</v>
      </c>
      <c r="B29" s="94" t="s">
        <v>446</v>
      </c>
      <c r="C29" s="95" t="s">
        <v>1044</v>
      </c>
      <c r="D29" s="95">
        <v>43379</v>
      </c>
      <c r="E29" s="96">
        <v>43397</v>
      </c>
      <c r="F29" s="95">
        <v>43380</v>
      </c>
      <c r="G29" s="95">
        <v>43386</v>
      </c>
      <c r="H29" s="92">
        <v>1.3333333333333333</v>
      </c>
    </row>
    <row r="30" spans="1:8">
      <c r="A30" s="93" t="s">
        <v>996</v>
      </c>
      <c r="B30" s="94" t="s">
        <v>446</v>
      </c>
      <c r="C30" s="95" t="s">
        <v>1053</v>
      </c>
      <c r="D30" s="95">
        <v>43379</v>
      </c>
      <c r="E30" s="96">
        <v>43397</v>
      </c>
      <c r="F30" s="95">
        <v>43380</v>
      </c>
      <c r="G30" s="95">
        <v>43386</v>
      </c>
      <c r="H30" s="92">
        <v>1.3333333333333333</v>
      </c>
    </row>
    <row r="31" spans="1:8">
      <c r="A31" s="93" t="s">
        <v>996</v>
      </c>
      <c r="B31" s="94" t="s">
        <v>446</v>
      </c>
      <c r="C31" s="95" t="s">
        <v>1052</v>
      </c>
      <c r="D31" s="95">
        <v>43379</v>
      </c>
      <c r="E31" s="96">
        <v>43397</v>
      </c>
      <c r="F31" s="95">
        <v>43387</v>
      </c>
      <c r="G31" s="95">
        <v>43393</v>
      </c>
      <c r="H31" s="92">
        <v>1.6666666666666667</v>
      </c>
    </row>
    <row r="32" spans="1:8">
      <c r="A32" s="93" t="s">
        <v>996</v>
      </c>
      <c r="B32" s="94" t="s">
        <v>446</v>
      </c>
      <c r="C32" s="95" t="s">
        <v>1044</v>
      </c>
      <c r="D32" s="95">
        <v>43379</v>
      </c>
      <c r="E32" s="96">
        <v>43397</v>
      </c>
      <c r="F32" s="95">
        <v>43387</v>
      </c>
      <c r="G32" s="95">
        <v>43393</v>
      </c>
      <c r="H32" s="92">
        <v>1.6666666666666667</v>
      </c>
    </row>
    <row r="33" spans="1:8">
      <c r="A33" s="93" t="s">
        <v>996</v>
      </c>
      <c r="B33" s="94" t="s">
        <v>446</v>
      </c>
      <c r="C33" s="95" t="s">
        <v>1053</v>
      </c>
      <c r="D33" s="95">
        <v>43379</v>
      </c>
      <c r="E33" s="96">
        <v>43397</v>
      </c>
      <c r="F33" s="95">
        <v>43387</v>
      </c>
      <c r="G33" s="95">
        <v>43393</v>
      </c>
      <c r="H33" s="92">
        <v>1.6666666666666667</v>
      </c>
    </row>
    <row r="34" spans="1:8">
      <c r="A34" s="93" t="s">
        <v>996</v>
      </c>
      <c r="B34" s="94" t="s">
        <v>446</v>
      </c>
      <c r="C34" s="95" t="s">
        <v>1052</v>
      </c>
      <c r="D34" s="95">
        <v>43379</v>
      </c>
      <c r="E34" s="96">
        <v>43397</v>
      </c>
      <c r="F34" s="95">
        <v>43394</v>
      </c>
      <c r="G34" s="95">
        <v>43400</v>
      </c>
      <c r="H34" s="92">
        <v>1</v>
      </c>
    </row>
    <row r="35" spans="1:8">
      <c r="A35" s="93" t="s">
        <v>996</v>
      </c>
      <c r="B35" s="94" t="s">
        <v>446</v>
      </c>
      <c r="C35" s="95" t="s">
        <v>1044</v>
      </c>
      <c r="D35" s="95">
        <v>43379</v>
      </c>
      <c r="E35" s="96">
        <v>43397</v>
      </c>
      <c r="F35" s="95">
        <v>43394</v>
      </c>
      <c r="G35" s="95">
        <v>43400</v>
      </c>
      <c r="H35" s="92">
        <v>1</v>
      </c>
    </row>
    <row r="36" spans="1:8">
      <c r="A36" s="93" t="s">
        <v>996</v>
      </c>
      <c r="B36" s="94" t="s">
        <v>446</v>
      </c>
      <c r="C36" s="95" t="s">
        <v>1053</v>
      </c>
      <c r="D36" s="95">
        <v>43379</v>
      </c>
      <c r="E36" s="96">
        <v>43397</v>
      </c>
      <c r="F36" s="95">
        <v>43394</v>
      </c>
      <c r="G36" s="95">
        <v>43400</v>
      </c>
      <c r="H36" s="92">
        <v>1</v>
      </c>
    </row>
    <row r="37" spans="1:8">
      <c r="A37" s="93" t="s">
        <v>997</v>
      </c>
      <c r="B37" s="94" t="s">
        <v>447</v>
      </c>
      <c r="C37" s="95" t="s">
        <v>1044</v>
      </c>
      <c r="D37" s="95">
        <v>43385</v>
      </c>
      <c r="E37" s="96">
        <v>43396</v>
      </c>
      <c r="F37" s="95">
        <v>43380</v>
      </c>
      <c r="G37" s="95">
        <v>43386</v>
      </c>
      <c r="H37" s="92">
        <v>1</v>
      </c>
    </row>
    <row r="38" spans="1:8">
      <c r="A38" s="93" t="s">
        <v>997</v>
      </c>
      <c r="B38" s="94" t="s">
        <v>447</v>
      </c>
      <c r="C38" s="95" t="s">
        <v>1044</v>
      </c>
      <c r="D38" s="95">
        <v>43385</v>
      </c>
      <c r="E38" s="96">
        <v>43396</v>
      </c>
      <c r="F38" s="95">
        <v>43387</v>
      </c>
      <c r="G38" s="95">
        <v>43393</v>
      </c>
      <c r="H38" s="92">
        <v>5</v>
      </c>
    </row>
    <row r="39" spans="1:8">
      <c r="A39" s="93" t="s">
        <v>997</v>
      </c>
      <c r="B39" s="94" t="s">
        <v>447</v>
      </c>
      <c r="C39" s="95" t="s">
        <v>1044</v>
      </c>
      <c r="D39" s="95">
        <v>43385</v>
      </c>
      <c r="E39" s="96">
        <v>43396</v>
      </c>
      <c r="F39" s="95">
        <v>43394</v>
      </c>
      <c r="G39" s="95">
        <v>43400</v>
      </c>
      <c r="H39" s="92">
        <v>2</v>
      </c>
    </row>
    <row r="40" spans="1:8">
      <c r="A40" s="93" t="s">
        <v>998</v>
      </c>
      <c r="B40" s="94" t="s">
        <v>448</v>
      </c>
      <c r="C40" s="95" t="s">
        <v>1044</v>
      </c>
      <c r="D40" s="95">
        <v>43385</v>
      </c>
      <c r="E40" s="96">
        <v>43396</v>
      </c>
      <c r="F40" s="95">
        <v>43380</v>
      </c>
      <c r="G40" s="95">
        <v>43386</v>
      </c>
      <c r="H40" s="92">
        <v>1</v>
      </c>
    </row>
    <row r="41" spans="1:8">
      <c r="A41" s="93" t="s">
        <v>998</v>
      </c>
      <c r="B41" s="94" t="s">
        <v>448</v>
      </c>
      <c r="C41" s="95" t="s">
        <v>1044</v>
      </c>
      <c r="D41" s="95">
        <v>43385</v>
      </c>
      <c r="E41" s="96">
        <v>43396</v>
      </c>
      <c r="F41" s="95">
        <v>43387</v>
      </c>
      <c r="G41" s="95">
        <v>43393</v>
      </c>
      <c r="H41" s="92">
        <v>5</v>
      </c>
    </row>
    <row r="42" spans="1:8">
      <c r="A42" s="93" t="s">
        <v>998</v>
      </c>
      <c r="B42" s="94" t="s">
        <v>448</v>
      </c>
      <c r="C42" s="95" t="s">
        <v>1044</v>
      </c>
      <c r="D42" s="95">
        <v>43385</v>
      </c>
      <c r="E42" s="96">
        <v>43396</v>
      </c>
      <c r="F42" s="95">
        <v>43394</v>
      </c>
      <c r="G42" s="95">
        <v>43400</v>
      </c>
      <c r="H42" s="92">
        <v>2</v>
      </c>
    </row>
    <row r="43" spans="1:8">
      <c r="A43" s="93" t="s">
        <v>999</v>
      </c>
      <c r="B43" s="94" t="s">
        <v>1006</v>
      </c>
      <c r="C43" s="95" t="s">
        <v>1045</v>
      </c>
      <c r="D43" s="95">
        <v>43399</v>
      </c>
      <c r="E43" s="96">
        <v>43417</v>
      </c>
      <c r="F43" s="95">
        <v>43394</v>
      </c>
      <c r="G43" s="95">
        <v>43400</v>
      </c>
      <c r="H43" s="92">
        <v>1</v>
      </c>
    </row>
    <row r="44" spans="1:8">
      <c r="A44" s="93" t="s">
        <v>999</v>
      </c>
      <c r="B44" s="94" t="s">
        <v>1006</v>
      </c>
      <c r="C44" s="95" t="s">
        <v>1045</v>
      </c>
      <c r="D44" s="95">
        <v>43399</v>
      </c>
      <c r="E44" s="96">
        <v>43417</v>
      </c>
      <c r="F44" s="95">
        <v>43401</v>
      </c>
      <c r="G44" s="95">
        <v>43407</v>
      </c>
      <c r="H44" s="92">
        <v>5</v>
      </c>
    </row>
    <row r="45" spans="1:8">
      <c r="A45" s="93" t="s">
        <v>999</v>
      </c>
      <c r="B45" s="94" t="s">
        <v>1006</v>
      </c>
      <c r="C45" s="95" t="s">
        <v>1045</v>
      </c>
      <c r="D45" s="95">
        <v>43399</v>
      </c>
      <c r="E45" s="96">
        <v>43417</v>
      </c>
      <c r="F45" s="95">
        <v>43408</v>
      </c>
      <c r="G45" s="95">
        <v>43414</v>
      </c>
      <c r="H45" s="92">
        <v>5</v>
      </c>
    </row>
    <row r="46" spans="1:8">
      <c r="A46" s="93" t="s">
        <v>999</v>
      </c>
      <c r="B46" s="94" t="s">
        <v>1006</v>
      </c>
      <c r="C46" s="95" t="s">
        <v>1045</v>
      </c>
      <c r="D46" s="95">
        <v>43399</v>
      </c>
      <c r="E46" s="96">
        <v>43417</v>
      </c>
      <c r="F46" s="95">
        <v>43415</v>
      </c>
      <c r="G46" s="95">
        <v>43421</v>
      </c>
      <c r="H46" s="92">
        <v>2</v>
      </c>
    </row>
    <row r="47" spans="1:8">
      <c r="A47" s="93" t="s">
        <v>1007</v>
      </c>
      <c r="B47" s="94" t="s">
        <v>1008</v>
      </c>
      <c r="C47" s="95" t="s">
        <v>1046</v>
      </c>
      <c r="D47" s="95">
        <v>43406</v>
      </c>
      <c r="E47" s="96">
        <v>43417</v>
      </c>
      <c r="F47" s="95">
        <v>43401</v>
      </c>
      <c r="G47" s="95">
        <v>43407</v>
      </c>
      <c r="H47" s="92">
        <v>1</v>
      </c>
    </row>
    <row r="48" spans="1:8">
      <c r="A48" s="93" t="s">
        <v>1007</v>
      </c>
      <c r="B48" s="94" t="s">
        <v>1008</v>
      </c>
      <c r="C48" s="95" t="s">
        <v>1046</v>
      </c>
      <c r="D48" s="95">
        <v>43406</v>
      </c>
      <c r="E48" s="96">
        <v>43417</v>
      </c>
      <c r="F48" s="95">
        <v>43408</v>
      </c>
      <c r="G48" s="95">
        <v>43414</v>
      </c>
      <c r="H48" s="92">
        <v>5</v>
      </c>
    </row>
    <row r="49" spans="1:8">
      <c r="A49" s="93" t="s">
        <v>1007</v>
      </c>
      <c r="B49" s="94" t="s">
        <v>1008</v>
      </c>
      <c r="C49" s="95" t="s">
        <v>1046</v>
      </c>
      <c r="D49" s="95">
        <v>43406</v>
      </c>
      <c r="E49" s="96">
        <v>43417</v>
      </c>
      <c r="F49" s="95">
        <v>43415</v>
      </c>
      <c r="G49" s="95">
        <v>43421</v>
      </c>
      <c r="H49" s="92">
        <v>2</v>
      </c>
    </row>
    <row r="50" spans="1:8">
      <c r="A50" s="93" t="s">
        <v>1009</v>
      </c>
      <c r="B50" s="94" t="s">
        <v>1010</v>
      </c>
      <c r="C50" s="95" t="s">
        <v>1047</v>
      </c>
      <c r="D50" s="95">
        <v>43413</v>
      </c>
      <c r="E50" s="96">
        <v>43424</v>
      </c>
      <c r="F50" s="95">
        <v>43408</v>
      </c>
      <c r="G50" s="95">
        <v>43414</v>
      </c>
      <c r="H50" s="92">
        <v>1</v>
      </c>
    </row>
    <row r="51" spans="1:8">
      <c r="A51" s="93" t="s">
        <v>1009</v>
      </c>
      <c r="B51" s="94" t="s">
        <v>1010</v>
      </c>
      <c r="C51" s="95" t="s">
        <v>1047</v>
      </c>
      <c r="D51" s="95">
        <v>43413</v>
      </c>
      <c r="E51" s="96">
        <v>43424</v>
      </c>
      <c r="F51" s="95">
        <v>43415</v>
      </c>
      <c r="G51" s="95">
        <v>43421</v>
      </c>
      <c r="H51" s="92">
        <v>5</v>
      </c>
    </row>
    <row r="52" spans="1:8">
      <c r="A52" s="93" t="s">
        <v>1009</v>
      </c>
      <c r="B52" s="94" t="s">
        <v>1010</v>
      </c>
      <c r="C52" s="95" t="s">
        <v>1047</v>
      </c>
      <c r="D52" s="95">
        <v>43413</v>
      </c>
      <c r="E52" s="96">
        <v>43424</v>
      </c>
      <c r="F52" s="95">
        <v>43422</v>
      </c>
      <c r="G52" s="95">
        <v>43428</v>
      </c>
      <c r="H52" s="92">
        <v>2</v>
      </c>
    </row>
    <row r="53" spans="1:8">
      <c r="A53" s="93" t="s">
        <v>1011</v>
      </c>
      <c r="B53" s="94" t="s">
        <v>1012</v>
      </c>
      <c r="C53" s="95" t="s">
        <v>1048</v>
      </c>
      <c r="D53" s="95">
        <v>43413</v>
      </c>
      <c r="E53" s="96">
        <v>43431</v>
      </c>
      <c r="F53" s="95">
        <v>43408</v>
      </c>
      <c r="G53" s="95">
        <v>43414</v>
      </c>
      <c r="H53" s="92">
        <v>1</v>
      </c>
    </row>
    <row r="54" spans="1:8">
      <c r="A54" s="93" t="s">
        <v>1011</v>
      </c>
      <c r="B54" s="94" t="s">
        <v>1012</v>
      </c>
      <c r="C54" s="95" t="s">
        <v>1048</v>
      </c>
      <c r="D54" s="95">
        <v>43413</v>
      </c>
      <c r="E54" s="96">
        <v>43431</v>
      </c>
      <c r="F54" s="95">
        <v>43415</v>
      </c>
      <c r="G54" s="95">
        <v>43421</v>
      </c>
      <c r="H54" s="92">
        <v>5</v>
      </c>
    </row>
    <row r="55" spans="1:8">
      <c r="A55" s="93" t="s">
        <v>1011</v>
      </c>
      <c r="B55" s="94" t="s">
        <v>1012</v>
      </c>
      <c r="C55" s="95" t="s">
        <v>1048</v>
      </c>
      <c r="D55" s="95">
        <v>43413</v>
      </c>
      <c r="E55" s="96">
        <v>43431</v>
      </c>
      <c r="F55" s="95">
        <v>43422</v>
      </c>
      <c r="G55" s="95">
        <v>43428</v>
      </c>
      <c r="H55" s="92">
        <v>5</v>
      </c>
    </row>
    <row r="56" spans="1:8">
      <c r="A56" s="93" t="s">
        <v>1011</v>
      </c>
      <c r="B56" s="94" t="s">
        <v>1012</v>
      </c>
      <c r="C56" s="95" t="s">
        <v>1048</v>
      </c>
      <c r="D56" s="95">
        <v>43413</v>
      </c>
      <c r="E56" s="96">
        <v>43431</v>
      </c>
      <c r="F56" s="95">
        <v>43429</v>
      </c>
      <c r="G56" s="95">
        <v>43435</v>
      </c>
      <c r="H56" s="92">
        <v>2</v>
      </c>
    </row>
    <row r="57" spans="1:8">
      <c r="A57" s="93" t="s">
        <v>1000</v>
      </c>
      <c r="B57" s="94" t="s">
        <v>1013</v>
      </c>
      <c r="C57" s="95" t="s">
        <v>1048</v>
      </c>
      <c r="D57" s="95">
        <v>43434</v>
      </c>
      <c r="E57" s="96">
        <v>43438</v>
      </c>
      <c r="F57" s="95">
        <v>43429</v>
      </c>
      <c r="G57" s="95">
        <v>43435</v>
      </c>
      <c r="H57" s="92">
        <v>1</v>
      </c>
    </row>
    <row r="58" spans="1:8">
      <c r="A58" s="93" t="s">
        <v>1000</v>
      </c>
      <c r="B58" s="94" t="s">
        <v>1013</v>
      </c>
      <c r="C58" s="95" t="s">
        <v>1048</v>
      </c>
      <c r="D58" s="95">
        <v>43434</v>
      </c>
      <c r="E58" s="96">
        <v>43438</v>
      </c>
      <c r="F58" s="95">
        <v>43436</v>
      </c>
      <c r="G58" s="95">
        <v>43442</v>
      </c>
      <c r="H58" s="92">
        <v>2</v>
      </c>
    </row>
    <row r="59" spans="1:8">
      <c r="A59" s="93" t="s">
        <v>1016</v>
      </c>
      <c r="B59" s="94" t="s">
        <v>1017</v>
      </c>
      <c r="C59" s="95" t="s">
        <v>1048</v>
      </c>
      <c r="D59" s="95">
        <v>43434</v>
      </c>
      <c r="E59" s="96">
        <v>43438</v>
      </c>
      <c r="F59" s="95">
        <v>43429</v>
      </c>
      <c r="G59" s="95">
        <v>43435</v>
      </c>
      <c r="H59" s="92">
        <v>1</v>
      </c>
    </row>
    <row r="60" spans="1:8">
      <c r="A60" s="93" t="s">
        <v>1016</v>
      </c>
      <c r="B60" s="94" t="s">
        <v>1017</v>
      </c>
      <c r="C60" s="95" t="s">
        <v>1048</v>
      </c>
      <c r="D60" s="95">
        <v>43434</v>
      </c>
      <c r="E60" s="96">
        <v>43438</v>
      </c>
      <c r="F60" s="95">
        <v>43436</v>
      </c>
      <c r="G60" s="95">
        <v>43442</v>
      </c>
      <c r="H60" s="92">
        <v>2</v>
      </c>
    </row>
    <row r="61" spans="1:8">
      <c r="A61" s="93" t="s">
        <v>1018</v>
      </c>
      <c r="B61" s="94" t="s">
        <v>1019</v>
      </c>
      <c r="C61" s="95" t="s">
        <v>1049</v>
      </c>
      <c r="D61" s="95">
        <v>43434</v>
      </c>
      <c r="E61" s="96">
        <v>43438</v>
      </c>
      <c r="F61" s="95">
        <v>43429</v>
      </c>
      <c r="G61" s="95">
        <v>43435</v>
      </c>
      <c r="H61" s="92">
        <v>1</v>
      </c>
    </row>
    <row r="62" spans="1:8">
      <c r="A62" s="93" t="s">
        <v>1018</v>
      </c>
      <c r="B62" s="94" t="s">
        <v>1019</v>
      </c>
      <c r="C62" s="95" t="s">
        <v>1049</v>
      </c>
      <c r="D62" s="95">
        <v>43434</v>
      </c>
      <c r="E62" s="96">
        <v>43438</v>
      </c>
      <c r="F62" s="95">
        <v>43436</v>
      </c>
      <c r="G62" s="95">
        <v>43442</v>
      </c>
      <c r="H62" s="92">
        <v>2</v>
      </c>
    </row>
    <row r="63" spans="1:8">
      <c r="A63" s="93" t="s">
        <v>1020</v>
      </c>
      <c r="B63" s="94" t="s">
        <v>1021</v>
      </c>
      <c r="C63" s="95" t="s">
        <v>1050</v>
      </c>
      <c r="D63" s="95">
        <v>43441</v>
      </c>
      <c r="E63" s="96">
        <v>43445</v>
      </c>
      <c r="F63" s="95">
        <v>43436</v>
      </c>
      <c r="G63" s="95">
        <v>43442</v>
      </c>
      <c r="H63" s="92">
        <v>1</v>
      </c>
    </row>
    <row r="64" spans="1:8">
      <c r="A64" s="93" t="s">
        <v>1020</v>
      </c>
      <c r="B64" s="94" t="s">
        <v>1021</v>
      </c>
      <c r="C64" s="95" t="s">
        <v>1050</v>
      </c>
      <c r="D64" s="95">
        <v>43441</v>
      </c>
      <c r="E64" s="96">
        <v>43445</v>
      </c>
      <c r="F64" s="95">
        <v>43443</v>
      </c>
      <c r="G64" s="95">
        <v>43449</v>
      </c>
      <c r="H64" s="92">
        <v>2</v>
      </c>
    </row>
    <row r="65" spans="1:8">
      <c r="A65" s="93" t="s">
        <v>1022</v>
      </c>
      <c r="B65" s="94" t="s">
        <v>1023</v>
      </c>
      <c r="C65" s="95" t="s">
        <v>1050</v>
      </c>
      <c r="D65" s="95">
        <v>43441</v>
      </c>
      <c r="E65" s="96">
        <v>43452</v>
      </c>
      <c r="F65" s="95">
        <v>43436</v>
      </c>
      <c r="G65" s="95">
        <v>43442</v>
      </c>
      <c r="H65" s="92">
        <v>1</v>
      </c>
    </row>
    <row r="66" spans="1:8">
      <c r="A66" s="93" t="s">
        <v>1022</v>
      </c>
      <c r="B66" s="94" t="s">
        <v>1023</v>
      </c>
      <c r="C66" s="95" t="s">
        <v>1050</v>
      </c>
      <c r="D66" s="95">
        <v>43441</v>
      </c>
      <c r="E66" s="96">
        <v>43452</v>
      </c>
      <c r="F66" s="95">
        <v>43443</v>
      </c>
      <c r="G66" s="95">
        <v>43449</v>
      </c>
      <c r="H66" s="92">
        <v>5</v>
      </c>
    </row>
    <row r="67" spans="1:8">
      <c r="A67" s="93" t="s">
        <v>1022</v>
      </c>
      <c r="B67" s="94" t="s">
        <v>1023</v>
      </c>
      <c r="C67" s="95" t="s">
        <v>1050</v>
      </c>
      <c r="D67" s="95">
        <v>43441</v>
      </c>
      <c r="E67" s="96">
        <v>43452</v>
      </c>
      <c r="F67" s="95">
        <v>43450</v>
      </c>
      <c r="G67" s="95">
        <v>43456</v>
      </c>
      <c r="H67" s="92">
        <v>2</v>
      </c>
    </row>
    <row r="68" spans="1:8">
      <c r="A68" s="93" t="s">
        <v>1024</v>
      </c>
      <c r="B68" s="94" t="s">
        <v>1025</v>
      </c>
      <c r="C68" s="95" t="s">
        <v>1049</v>
      </c>
      <c r="D68" s="95">
        <v>43434</v>
      </c>
      <c r="E68" s="96">
        <v>43493</v>
      </c>
      <c r="F68" s="95">
        <v>43429</v>
      </c>
      <c r="G68" s="95">
        <v>43435</v>
      </c>
      <c r="H68" s="92">
        <v>0.5</v>
      </c>
    </row>
    <row r="69" spans="1:8">
      <c r="A69" s="93" t="s">
        <v>1024</v>
      </c>
      <c r="B69" s="94" t="s">
        <v>1025</v>
      </c>
      <c r="C69" s="95" t="s">
        <v>1050</v>
      </c>
      <c r="D69" s="95">
        <v>43434</v>
      </c>
      <c r="E69" s="96">
        <v>43493</v>
      </c>
      <c r="F69" s="95">
        <v>43429</v>
      </c>
      <c r="G69" s="95">
        <v>43435</v>
      </c>
      <c r="H69" s="92">
        <v>0.5</v>
      </c>
    </row>
    <row r="70" spans="1:8">
      <c r="A70" s="93" t="s">
        <v>1024</v>
      </c>
      <c r="B70" s="94" t="s">
        <v>1025</v>
      </c>
      <c r="C70" s="95" t="s">
        <v>1049</v>
      </c>
      <c r="D70" s="95">
        <v>43434</v>
      </c>
      <c r="E70" s="96">
        <v>43493</v>
      </c>
      <c r="F70" s="95">
        <v>43436</v>
      </c>
      <c r="G70" s="95">
        <v>43442</v>
      </c>
      <c r="H70" s="92">
        <v>2.5</v>
      </c>
    </row>
    <row r="71" spans="1:8">
      <c r="A71" s="93" t="s">
        <v>1024</v>
      </c>
      <c r="B71" s="94" t="s">
        <v>1025</v>
      </c>
      <c r="C71" s="95" t="s">
        <v>1050</v>
      </c>
      <c r="D71" s="95">
        <v>43434</v>
      </c>
      <c r="E71" s="96">
        <v>43493</v>
      </c>
      <c r="F71" s="95">
        <v>43436</v>
      </c>
      <c r="G71" s="95">
        <v>43442</v>
      </c>
      <c r="H71" s="92">
        <v>2.5</v>
      </c>
    </row>
    <row r="72" spans="1:8">
      <c r="A72" s="93" t="s">
        <v>1024</v>
      </c>
      <c r="B72" s="94" t="s">
        <v>1025</v>
      </c>
      <c r="C72" s="95" t="s">
        <v>1049</v>
      </c>
      <c r="D72" s="95">
        <v>43434</v>
      </c>
      <c r="E72" s="96">
        <v>43493</v>
      </c>
      <c r="F72" s="95">
        <v>43443</v>
      </c>
      <c r="G72" s="95">
        <v>43449</v>
      </c>
      <c r="H72" s="92">
        <v>2.5</v>
      </c>
    </row>
    <row r="73" spans="1:8">
      <c r="A73" s="93" t="s">
        <v>1024</v>
      </c>
      <c r="B73" s="94" t="s">
        <v>1025</v>
      </c>
      <c r="C73" s="95" t="s">
        <v>1050</v>
      </c>
      <c r="D73" s="95">
        <v>43434</v>
      </c>
      <c r="E73" s="96">
        <v>43493</v>
      </c>
      <c r="F73" s="95">
        <v>43443</v>
      </c>
      <c r="G73" s="95">
        <v>43449</v>
      </c>
      <c r="H73" s="92">
        <v>2.5</v>
      </c>
    </row>
    <row r="74" spans="1:8">
      <c r="A74" s="93" t="s">
        <v>1024</v>
      </c>
      <c r="B74" s="94" t="s">
        <v>1025</v>
      </c>
      <c r="C74" s="95" t="s">
        <v>1049</v>
      </c>
      <c r="D74" s="95">
        <v>43434</v>
      </c>
      <c r="E74" s="96">
        <v>43493</v>
      </c>
      <c r="F74" s="95">
        <v>43450</v>
      </c>
      <c r="G74" s="95">
        <v>43456</v>
      </c>
      <c r="H74" s="92">
        <v>2.5</v>
      </c>
    </row>
    <row r="75" spans="1:8">
      <c r="A75" s="93" t="s">
        <v>1024</v>
      </c>
      <c r="B75" s="94" t="s">
        <v>1025</v>
      </c>
      <c r="C75" s="95" t="s">
        <v>1050</v>
      </c>
      <c r="D75" s="95">
        <v>43434</v>
      </c>
      <c r="E75" s="96">
        <v>43493</v>
      </c>
      <c r="F75" s="95">
        <v>43450</v>
      </c>
      <c r="G75" s="95">
        <v>43456</v>
      </c>
      <c r="H75" s="92">
        <v>2.5</v>
      </c>
    </row>
    <row r="76" spans="1:8">
      <c r="A76" s="93" t="s">
        <v>1024</v>
      </c>
      <c r="B76" s="94" t="s">
        <v>1025</v>
      </c>
      <c r="C76" s="95" t="s">
        <v>1049</v>
      </c>
      <c r="D76" s="95">
        <v>43434</v>
      </c>
      <c r="E76" s="96">
        <v>43493</v>
      </c>
      <c r="F76" s="95">
        <v>43457</v>
      </c>
      <c r="G76" s="95">
        <v>43463</v>
      </c>
      <c r="H76" s="92">
        <v>2</v>
      </c>
    </row>
    <row r="77" spans="1:8">
      <c r="A77" s="93" t="s">
        <v>1024</v>
      </c>
      <c r="B77" s="94" t="s">
        <v>1025</v>
      </c>
      <c r="C77" s="95" t="s">
        <v>1050</v>
      </c>
      <c r="D77" s="95">
        <v>43434</v>
      </c>
      <c r="E77" s="96">
        <v>43493</v>
      </c>
      <c r="F77" s="95">
        <v>43457</v>
      </c>
      <c r="G77" s="95">
        <v>43463</v>
      </c>
      <c r="H77" s="92">
        <v>2</v>
      </c>
    </row>
    <row r="78" spans="1:8">
      <c r="A78" s="93" t="s">
        <v>1024</v>
      </c>
      <c r="B78" s="94" t="s">
        <v>1025</v>
      </c>
      <c r="C78" s="95" t="s">
        <v>1049</v>
      </c>
      <c r="D78" s="95">
        <v>43434</v>
      </c>
      <c r="E78" s="96">
        <v>43493</v>
      </c>
      <c r="F78" s="95">
        <v>43464</v>
      </c>
      <c r="G78" s="95">
        <v>43470</v>
      </c>
      <c r="H78" s="92">
        <v>2</v>
      </c>
    </row>
    <row r="79" spans="1:8">
      <c r="A79" s="93" t="s">
        <v>1024</v>
      </c>
      <c r="B79" s="94" t="s">
        <v>1025</v>
      </c>
      <c r="C79" s="95" t="s">
        <v>1050</v>
      </c>
      <c r="D79" s="95">
        <v>43434</v>
      </c>
      <c r="E79" s="96">
        <v>43493</v>
      </c>
      <c r="F79" s="95">
        <v>43464</v>
      </c>
      <c r="G79" s="95">
        <v>43470</v>
      </c>
      <c r="H79" s="92">
        <v>2</v>
      </c>
    </row>
    <row r="80" spans="1:8">
      <c r="A80" s="93" t="s">
        <v>1024</v>
      </c>
      <c r="B80" s="94" t="s">
        <v>1025</v>
      </c>
      <c r="C80" s="95" t="s">
        <v>1049</v>
      </c>
      <c r="D80" s="95">
        <v>43434</v>
      </c>
      <c r="E80" s="96">
        <v>43493</v>
      </c>
      <c r="F80" s="95">
        <v>43471</v>
      </c>
      <c r="G80" s="95">
        <v>43477</v>
      </c>
      <c r="H80" s="92">
        <v>2.5</v>
      </c>
    </row>
    <row r="81" spans="1:8">
      <c r="A81" s="93" t="s">
        <v>1024</v>
      </c>
      <c r="B81" s="94" t="s">
        <v>1025</v>
      </c>
      <c r="C81" s="95" t="s">
        <v>1050</v>
      </c>
      <c r="D81" s="95">
        <v>43434</v>
      </c>
      <c r="E81" s="96">
        <v>43493</v>
      </c>
      <c r="F81" s="95">
        <v>43471</v>
      </c>
      <c r="G81" s="95">
        <v>43477</v>
      </c>
      <c r="H81" s="92">
        <v>2.5</v>
      </c>
    </row>
    <row r="82" spans="1:8">
      <c r="A82" s="93" t="s">
        <v>1024</v>
      </c>
      <c r="B82" s="94" t="s">
        <v>1025</v>
      </c>
      <c r="C82" s="95" t="s">
        <v>1049</v>
      </c>
      <c r="D82" s="95">
        <v>43434</v>
      </c>
      <c r="E82" s="96">
        <v>43493</v>
      </c>
      <c r="F82" s="95">
        <v>43478</v>
      </c>
      <c r="G82" s="95">
        <v>43484</v>
      </c>
      <c r="H82" s="92">
        <v>2.5</v>
      </c>
    </row>
    <row r="83" spans="1:8">
      <c r="A83" s="93" t="s">
        <v>1024</v>
      </c>
      <c r="B83" s="94" t="s">
        <v>1025</v>
      </c>
      <c r="C83" s="95" t="s">
        <v>1050</v>
      </c>
      <c r="D83" s="95">
        <v>43434</v>
      </c>
      <c r="E83" s="96">
        <v>43493</v>
      </c>
      <c r="F83" s="95">
        <v>43478</v>
      </c>
      <c r="G83" s="95">
        <v>43484</v>
      </c>
      <c r="H83" s="92">
        <v>2.5</v>
      </c>
    </row>
    <row r="84" spans="1:8">
      <c r="A84" s="93" t="s">
        <v>1024</v>
      </c>
      <c r="B84" s="94" t="s">
        <v>1025</v>
      </c>
      <c r="C84" s="95" t="s">
        <v>1049</v>
      </c>
      <c r="D84" s="95">
        <v>43434</v>
      </c>
      <c r="E84" s="96">
        <v>43493</v>
      </c>
      <c r="F84" s="95">
        <v>43485</v>
      </c>
      <c r="G84" s="95">
        <v>43491</v>
      </c>
      <c r="H84" s="92">
        <v>2.5</v>
      </c>
    </row>
    <row r="85" spans="1:8">
      <c r="A85" s="93" t="s">
        <v>1024</v>
      </c>
      <c r="B85" s="94" t="s">
        <v>1025</v>
      </c>
      <c r="C85" s="95" t="s">
        <v>1050</v>
      </c>
      <c r="D85" s="95">
        <v>43434</v>
      </c>
      <c r="E85" s="96">
        <v>43493</v>
      </c>
      <c r="F85" s="95">
        <v>43485</v>
      </c>
      <c r="G85" s="95">
        <v>43491</v>
      </c>
      <c r="H85" s="92">
        <v>2.5</v>
      </c>
    </row>
    <row r="86" spans="1:8">
      <c r="A86" s="93" t="s">
        <v>1024</v>
      </c>
      <c r="B86" s="94" t="s">
        <v>1025</v>
      </c>
      <c r="C86" s="95" t="s">
        <v>1049</v>
      </c>
      <c r="D86" s="95">
        <v>43434</v>
      </c>
      <c r="E86" s="96">
        <v>43493</v>
      </c>
      <c r="F86" s="95">
        <v>43492</v>
      </c>
      <c r="G86" s="95">
        <v>43498</v>
      </c>
      <c r="H86" s="92">
        <v>0.5</v>
      </c>
    </row>
    <row r="87" spans="1:8">
      <c r="A87" s="93" t="s">
        <v>1024</v>
      </c>
      <c r="B87" s="94" t="s">
        <v>1025</v>
      </c>
      <c r="C87" s="95" t="s">
        <v>1050</v>
      </c>
      <c r="D87" s="95">
        <v>43434</v>
      </c>
      <c r="E87" s="96">
        <v>43493</v>
      </c>
      <c r="F87" s="95">
        <v>43492</v>
      </c>
      <c r="G87" s="95">
        <v>43498</v>
      </c>
      <c r="H87" s="92">
        <v>0.5</v>
      </c>
    </row>
    <row r="88" spans="1:8">
      <c r="A88" s="93" t="s">
        <v>1026</v>
      </c>
      <c r="B88" s="94" t="s">
        <v>1027</v>
      </c>
      <c r="C88" s="95" t="s">
        <v>1049</v>
      </c>
      <c r="D88" s="95">
        <v>43434</v>
      </c>
      <c r="E88" s="96">
        <v>43493</v>
      </c>
      <c r="F88" s="95">
        <v>43429</v>
      </c>
      <c r="G88" s="95">
        <v>43435</v>
      </c>
      <c r="H88" s="92">
        <v>1</v>
      </c>
    </row>
    <row r="89" spans="1:8">
      <c r="A89" s="93" t="s">
        <v>1026</v>
      </c>
      <c r="B89" s="94" t="s">
        <v>1027</v>
      </c>
      <c r="C89" s="95" t="s">
        <v>1049</v>
      </c>
      <c r="D89" s="95">
        <v>43434</v>
      </c>
      <c r="E89" s="96">
        <v>43493</v>
      </c>
      <c r="F89" s="95">
        <v>43436</v>
      </c>
      <c r="G89" s="95">
        <v>43442</v>
      </c>
      <c r="H89" s="92">
        <v>5</v>
      </c>
    </row>
    <row r="90" spans="1:8">
      <c r="A90" s="93" t="s">
        <v>1026</v>
      </c>
      <c r="B90" s="94" t="s">
        <v>1027</v>
      </c>
      <c r="C90" s="95" t="s">
        <v>1049</v>
      </c>
      <c r="D90" s="95">
        <v>43434</v>
      </c>
      <c r="E90" s="96">
        <v>43493</v>
      </c>
      <c r="F90" s="95">
        <v>43443</v>
      </c>
      <c r="G90" s="95">
        <v>43449</v>
      </c>
      <c r="H90" s="92">
        <v>5</v>
      </c>
    </row>
    <row r="91" spans="1:8">
      <c r="A91" s="93" t="s">
        <v>1026</v>
      </c>
      <c r="B91" s="94" t="s">
        <v>1027</v>
      </c>
      <c r="C91" s="95" t="s">
        <v>1049</v>
      </c>
      <c r="D91" s="95">
        <v>43434</v>
      </c>
      <c r="E91" s="96">
        <v>43493</v>
      </c>
      <c r="F91" s="95">
        <v>43450</v>
      </c>
      <c r="G91" s="95">
        <v>43456</v>
      </c>
      <c r="H91" s="92">
        <v>5</v>
      </c>
    </row>
    <row r="92" spans="1:8">
      <c r="A92" s="93" t="s">
        <v>1026</v>
      </c>
      <c r="B92" s="94" t="s">
        <v>1027</v>
      </c>
      <c r="C92" s="95" t="s">
        <v>1049</v>
      </c>
      <c r="D92" s="95">
        <v>43434</v>
      </c>
      <c r="E92" s="96">
        <v>43493</v>
      </c>
      <c r="F92" s="95">
        <v>43457</v>
      </c>
      <c r="G92" s="95">
        <v>43463</v>
      </c>
      <c r="H92" s="92">
        <v>4</v>
      </c>
    </row>
    <row r="93" spans="1:8">
      <c r="A93" s="93" t="s">
        <v>1026</v>
      </c>
      <c r="B93" s="94" t="s">
        <v>1027</v>
      </c>
      <c r="C93" s="95" t="s">
        <v>1049</v>
      </c>
      <c r="D93" s="95">
        <v>43434</v>
      </c>
      <c r="E93" s="96">
        <v>43493</v>
      </c>
      <c r="F93" s="95">
        <v>43464</v>
      </c>
      <c r="G93" s="95">
        <v>43470</v>
      </c>
      <c r="H93" s="92">
        <v>4</v>
      </c>
    </row>
    <row r="94" spans="1:8">
      <c r="A94" s="93" t="s">
        <v>1026</v>
      </c>
      <c r="B94" s="94" t="s">
        <v>1027</v>
      </c>
      <c r="C94" s="95" t="s">
        <v>1049</v>
      </c>
      <c r="D94" s="95">
        <v>43434</v>
      </c>
      <c r="E94" s="96">
        <v>43493</v>
      </c>
      <c r="F94" s="95">
        <v>43471</v>
      </c>
      <c r="G94" s="95">
        <v>43477</v>
      </c>
      <c r="H94" s="92">
        <v>5</v>
      </c>
    </row>
    <row r="95" spans="1:8">
      <c r="A95" s="93" t="s">
        <v>1026</v>
      </c>
      <c r="B95" s="94" t="s">
        <v>1027</v>
      </c>
      <c r="C95" s="95" t="s">
        <v>1049</v>
      </c>
      <c r="D95" s="95">
        <v>43434</v>
      </c>
      <c r="E95" s="96">
        <v>43493</v>
      </c>
      <c r="F95" s="95">
        <v>43478</v>
      </c>
      <c r="G95" s="95">
        <v>43484</v>
      </c>
      <c r="H95" s="92">
        <v>5</v>
      </c>
    </row>
    <row r="96" spans="1:8">
      <c r="A96" s="93" t="s">
        <v>1026</v>
      </c>
      <c r="B96" s="94" t="s">
        <v>1027</v>
      </c>
      <c r="C96" s="95" t="s">
        <v>1049</v>
      </c>
      <c r="D96" s="95">
        <v>43434</v>
      </c>
      <c r="E96" s="96">
        <v>43493</v>
      </c>
      <c r="F96" s="95">
        <v>43485</v>
      </c>
      <c r="G96" s="95">
        <v>43491</v>
      </c>
      <c r="H96" s="92">
        <v>5</v>
      </c>
    </row>
    <row r="97" spans="1:8">
      <c r="A97" s="93" t="s">
        <v>1026</v>
      </c>
      <c r="B97" s="94" t="s">
        <v>1027</v>
      </c>
      <c r="C97" s="95" t="s">
        <v>1049</v>
      </c>
      <c r="D97" s="95">
        <v>43434</v>
      </c>
      <c r="E97" s="96">
        <v>43493</v>
      </c>
      <c r="F97" s="95">
        <v>43492</v>
      </c>
      <c r="G97" s="95">
        <v>43498</v>
      </c>
      <c r="H97" s="92">
        <v>1</v>
      </c>
    </row>
    <row r="98" spans="1:8">
      <c r="A98" s="93" t="s">
        <v>1028</v>
      </c>
      <c r="B98" s="94" t="s">
        <v>1029</v>
      </c>
      <c r="C98" s="95" t="s">
        <v>1050</v>
      </c>
      <c r="D98" s="95">
        <v>43448</v>
      </c>
      <c r="E98" s="96">
        <v>43493</v>
      </c>
      <c r="F98" s="95">
        <v>43443</v>
      </c>
      <c r="G98" s="95">
        <v>43449</v>
      </c>
      <c r="H98" s="92">
        <v>1</v>
      </c>
    </row>
    <row r="99" spans="1:8">
      <c r="A99" s="93" t="s">
        <v>1028</v>
      </c>
      <c r="B99" s="94" t="s">
        <v>1029</v>
      </c>
      <c r="C99" s="95" t="s">
        <v>1050</v>
      </c>
      <c r="D99" s="95">
        <v>43448</v>
      </c>
      <c r="E99" s="96">
        <v>43493</v>
      </c>
      <c r="F99" s="95">
        <v>43450</v>
      </c>
      <c r="G99" s="95">
        <v>43456</v>
      </c>
      <c r="H99" s="92">
        <v>5</v>
      </c>
    </row>
    <row r="100" spans="1:8">
      <c r="A100" s="93" t="s">
        <v>1028</v>
      </c>
      <c r="B100" s="94" t="s">
        <v>1029</v>
      </c>
      <c r="C100" s="95" t="s">
        <v>1050</v>
      </c>
      <c r="D100" s="95">
        <v>43448</v>
      </c>
      <c r="E100" s="96">
        <v>43493</v>
      </c>
      <c r="F100" s="95">
        <v>43457</v>
      </c>
      <c r="G100" s="95">
        <v>43463</v>
      </c>
      <c r="H100" s="92">
        <v>4</v>
      </c>
    </row>
    <row r="101" spans="1:8">
      <c r="A101" s="93" t="s">
        <v>1028</v>
      </c>
      <c r="B101" s="94" t="s">
        <v>1029</v>
      </c>
      <c r="C101" s="95" t="s">
        <v>1050</v>
      </c>
      <c r="D101" s="95">
        <v>43448</v>
      </c>
      <c r="E101" s="96">
        <v>43493</v>
      </c>
      <c r="F101" s="95">
        <v>43464</v>
      </c>
      <c r="G101" s="95">
        <v>43470</v>
      </c>
      <c r="H101" s="92">
        <v>4</v>
      </c>
    </row>
    <row r="102" spans="1:8">
      <c r="A102" s="93" t="s">
        <v>1028</v>
      </c>
      <c r="B102" s="94" t="s">
        <v>1029</v>
      </c>
      <c r="C102" s="95" t="s">
        <v>1050</v>
      </c>
      <c r="D102" s="95">
        <v>43448</v>
      </c>
      <c r="E102" s="96">
        <v>43493</v>
      </c>
      <c r="F102" s="95">
        <v>43471</v>
      </c>
      <c r="G102" s="95">
        <v>43477</v>
      </c>
      <c r="H102" s="92">
        <v>5</v>
      </c>
    </row>
    <row r="103" spans="1:8">
      <c r="A103" s="93" t="s">
        <v>1028</v>
      </c>
      <c r="B103" s="94" t="s">
        <v>1029</v>
      </c>
      <c r="C103" s="95" t="s">
        <v>1050</v>
      </c>
      <c r="D103" s="95">
        <v>43448</v>
      </c>
      <c r="E103" s="96">
        <v>43493</v>
      </c>
      <c r="F103" s="95">
        <v>43478</v>
      </c>
      <c r="G103" s="95">
        <v>43484</v>
      </c>
      <c r="H103" s="92">
        <v>5</v>
      </c>
    </row>
    <row r="104" spans="1:8">
      <c r="A104" s="93" t="s">
        <v>1028</v>
      </c>
      <c r="B104" s="94" t="s">
        <v>1029</v>
      </c>
      <c r="C104" s="95" t="s">
        <v>1050</v>
      </c>
      <c r="D104" s="95">
        <v>43448</v>
      </c>
      <c r="E104" s="96">
        <v>43493</v>
      </c>
      <c r="F104" s="95">
        <v>43485</v>
      </c>
      <c r="G104" s="95">
        <v>43491</v>
      </c>
      <c r="H104" s="92">
        <v>5</v>
      </c>
    </row>
    <row r="105" spans="1:8">
      <c r="A105" s="93" t="s">
        <v>1028</v>
      </c>
      <c r="B105" s="94" t="s">
        <v>1029</v>
      </c>
      <c r="C105" s="95" t="s">
        <v>1050</v>
      </c>
      <c r="D105" s="95">
        <v>43448</v>
      </c>
      <c r="E105" s="96">
        <v>43493</v>
      </c>
      <c r="F105" s="95">
        <v>43492</v>
      </c>
      <c r="G105" s="95">
        <v>43498</v>
      </c>
      <c r="H105" s="92">
        <v>1</v>
      </c>
    </row>
    <row r="106" spans="1:8">
      <c r="A106" s="93" t="s">
        <v>1030</v>
      </c>
      <c r="B106" s="94" t="s">
        <v>1031</v>
      </c>
      <c r="C106" s="95" t="s">
        <v>1048</v>
      </c>
      <c r="D106" s="95">
        <v>43476</v>
      </c>
      <c r="E106" s="96">
        <v>43494</v>
      </c>
      <c r="F106" s="95">
        <v>43471</v>
      </c>
      <c r="G106" s="95">
        <v>43477</v>
      </c>
      <c r="H106" s="92">
        <v>1</v>
      </c>
    </row>
    <row r="107" spans="1:8">
      <c r="A107" s="93" t="s">
        <v>1030</v>
      </c>
      <c r="B107" s="94" t="s">
        <v>1031</v>
      </c>
      <c r="C107" s="95" t="s">
        <v>1048</v>
      </c>
      <c r="D107" s="95">
        <v>43476</v>
      </c>
      <c r="E107" s="96">
        <v>43494</v>
      </c>
      <c r="F107" s="95">
        <v>43478</v>
      </c>
      <c r="G107" s="95">
        <v>43484</v>
      </c>
      <c r="H107" s="92">
        <v>5</v>
      </c>
    </row>
    <row r="108" spans="1:8">
      <c r="A108" s="93" t="s">
        <v>1030</v>
      </c>
      <c r="B108" s="94" t="s">
        <v>1031</v>
      </c>
      <c r="C108" s="95" t="s">
        <v>1048</v>
      </c>
      <c r="D108" s="95">
        <v>43476</v>
      </c>
      <c r="E108" s="96">
        <v>43494</v>
      </c>
      <c r="F108" s="95">
        <v>43485</v>
      </c>
      <c r="G108" s="95">
        <v>43491</v>
      </c>
      <c r="H108" s="92">
        <v>5</v>
      </c>
    </row>
    <row r="109" spans="1:8">
      <c r="A109" s="93" t="s">
        <v>1030</v>
      </c>
      <c r="B109" s="94" t="s">
        <v>1031</v>
      </c>
      <c r="C109" s="95" t="s">
        <v>1048</v>
      </c>
      <c r="D109" s="95">
        <v>43476</v>
      </c>
      <c r="E109" s="96">
        <v>43494</v>
      </c>
      <c r="F109" s="95">
        <v>43492</v>
      </c>
      <c r="G109" s="95">
        <v>43498</v>
      </c>
      <c r="H109" s="92">
        <v>2</v>
      </c>
    </row>
    <row r="110" spans="1:8">
      <c r="A110" s="93" t="s">
        <v>1032</v>
      </c>
      <c r="B110" s="94" t="s">
        <v>1033</v>
      </c>
      <c r="C110" s="95" t="s">
        <v>1048</v>
      </c>
      <c r="D110" s="95">
        <v>43497</v>
      </c>
      <c r="E110" s="96">
        <v>43501</v>
      </c>
      <c r="F110" s="95">
        <v>43492</v>
      </c>
      <c r="G110" s="95">
        <v>43498</v>
      </c>
      <c r="H110" s="92">
        <v>1</v>
      </c>
    </row>
    <row r="111" spans="1:8">
      <c r="A111" s="93" t="s">
        <v>1032</v>
      </c>
      <c r="B111" s="94" t="s">
        <v>1033</v>
      </c>
      <c r="C111" s="95" t="s">
        <v>1048</v>
      </c>
      <c r="D111" s="95">
        <v>43497</v>
      </c>
      <c r="E111" s="96">
        <v>43501</v>
      </c>
      <c r="F111" s="95">
        <v>43499</v>
      </c>
      <c r="G111" s="95">
        <v>43505</v>
      </c>
      <c r="H111" s="92">
        <v>0</v>
      </c>
    </row>
    <row r="112" spans="1:8">
      <c r="A112" s="93" t="s">
        <v>1034</v>
      </c>
      <c r="B112" s="94" t="s">
        <v>1035</v>
      </c>
      <c r="C112" s="95" t="s">
        <v>1048</v>
      </c>
      <c r="D112" s="95">
        <v>43497</v>
      </c>
      <c r="E112" s="96">
        <v>43499</v>
      </c>
      <c r="F112" s="95">
        <v>43492</v>
      </c>
      <c r="G112" s="95">
        <v>43498</v>
      </c>
      <c r="H112" s="92">
        <v>1</v>
      </c>
    </row>
    <row r="113" spans="1:8">
      <c r="A113" s="93" t="s">
        <v>1034</v>
      </c>
      <c r="B113" s="94" t="s">
        <v>1035</v>
      </c>
      <c r="C113" s="95" t="s">
        <v>1048</v>
      </c>
      <c r="D113" s="95">
        <v>43497</v>
      </c>
      <c r="E113" s="96">
        <v>43499</v>
      </c>
      <c r="F113" s="95">
        <v>43499</v>
      </c>
      <c r="G113" s="95">
        <v>43505</v>
      </c>
      <c r="H113" s="92">
        <v>0</v>
      </c>
    </row>
    <row r="114" spans="1:8">
      <c r="A114" s="93" t="s">
        <v>1036</v>
      </c>
      <c r="B114" s="94" t="s">
        <v>1037</v>
      </c>
      <c r="C114" s="95" t="s">
        <v>1048</v>
      </c>
      <c r="D114" s="95">
        <v>43501</v>
      </c>
      <c r="E114" s="96">
        <v>43503</v>
      </c>
      <c r="F114" s="95">
        <v>43499</v>
      </c>
      <c r="G114" s="95">
        <v>43505</v>
      </c>
      <c r="H114" s="92">
        <v>0.5</v>
      </c>
    </row>
    <row r="115" spans="1:8">
      <c r="A115" s="93" t="s">
        <v>1036</v>
      </c>
      <c r="B115" s="94" t="s">
        <v>1037</v>
      </c>
      <c r="C115" s="95" t="s">
        <v>1047</v>
      </c>
      <c r="D115" s="95">
        <v>43501</v>
      </c>
      <c r="E115" s="96">
        <v>43503</v>
      </c>
      <c r="F115" s="95">
        <v>43499</v>
      </c>
      <c r="G115" s="95">
        <v>43505</v>
      </c>
      <c r="H115" s="92">
        <v>0.5</v>
      </c>
    </row>
    <row r="116" spans="1:8">
      <c r="A116" s="93" t="s">
        <v>1038</v>
      </c>
      <c r="B116" s="94" t="s">
        <v>1039</v>
      </c>
      <c r="C116" s="95" t="s">
        <v>1048</v>
      </c>
      <c r="D116" s="95">
        <v>43501</v>
      </c>
      <c r="E116" s="96">
        <v>43503</v>
      </c>
      <c r="F116" s="95">
        <v>43499</v>
      </c>
      <c r="G116" s="95">
        <v>43505</v>
      </c>
      <c r="H116" s="92">
        <v>0.5</v>
      </c>
    </row>
    <row r="117" spans="1:8">
      <c r="A117" s="93" t="s">
        <v>1038</v>
      </c>
      <c r="B117" s="94" t="s">
        <v>1039</v>
      </c>
      <c r="C117" s="95" t="s">
        <v>1049</v>
      </c>
      <c r="D117" s="95">
        <v>43501</v>
      </c>
      <c r="E117" s="96">
        <v>43503</v>
      </c>
      <c r="F117" s="95">
        <v>43499</v>
      </c>
      <c r="G117" s="95">
        <v>43505</v>
      </c>
      <c r="H117" s="92">
        <v>0.5</v>
      </c>
    </row>
    <row r="118" spans="1:8">
      <c r="A118" s="93" t="s">
        <v>1040</v>
      </c>
      <c r="B118" s="94" t="s">
        <v>1041</v>
      </c>
      <c r="C118" s="95" t="s">
        <v>1048</v>
      </c>
      <c r="D118" s="95">
        <v>43501</v>
      </c>
      <c r="E118" s="96">
        <v>43503</v>
      </c>
      <c r="F118" s="95">
        <v>43499</v>
      </c>
      <c r="G118" s="95">
        <v>43505</v>
      </c>
      <c r="H118" s="92">
        <v>0.5</v>
      </c>
    </row>
    <row r="119" spans="1:8">
      <c r="A119" s="93" t="s">
        <v>1040</v>
      </c>
      <c r="B119" s="94" t="s">
        <v>1041</v>
      </c>
      <c r="C119" s="95" t="s">
        <v>1049</v>
      </c>
      <c r="D119" s="95">
        <v>43501</v>
      </c>
      <c r="E119" s="96">
        <v>43503</v>
      </c>
      <c r="F119" s="95">
        <v>43499</v>
      </c>
      <c r="G119" s="95">
        <v>43505</v>
      </c>
      <c r="H119" s="92">
        <v>0.5</v>
      </c>
    </row>
    <row r="120" spans="1:8">
      <c r="A120" s="93" t="s">
        <v>1042</v>
      </c>
      <c r="B120" s="94" t="s">
        <v>1043</v>
      </c>
      <c r="C120" s="95" t="s">
        <v>1048</v>
      </c>
      <c r="D120" s="95">
        <v>43504</v>
      </c>
      <c r="E120" s="96">
        <v>43504</v>
      </c>
      <c r="F120" s="95">
        <v>43499</v>
      </c>
      <c r="G120" s="95">
        <v>43505</v>
      </c>
      <c r="H120" s="92">
        <v>1</v>
      </c>
    </row>
    <row r="121" spans="1:8">
      <c r="G121" s="92" t="s">
        <v>4</v>
      </c>
      <c r="H121" s="92">
        <f>SUM(H2:H120)</f>
        <v>263</v>
      </c>
    </row>
  </sheetData>
  <phoneticPr fontId="2" type="noConversion"/>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8">
    <outlinePr summaryBelow="0"/>
    <pageSetUpPr fitToPage="1"/>
  </sheetPr>
  <dimension ref="A1:EJ115"/>
  <sheetViews>
    <sheetView tabSelected="1" zoomScaleNormal="100" zoomScalePageLayoutView="55" workbookViewId="0">
      <pane ySplit="4" topLeftCell="A5" activePane="bottomLeft" state="frozen"/>
      <selection activeCell="E5" sqref="E5"/>
      <selection pane="bottomLeft" activeCell="D5" sqref="D5"/>
    </sheetView>
  </sheetViews>
  <sheetFormatPr defaultColWidth="10" defaultRowHeight="12" outlineLevelRow="4"/>
  <cols>
    <col min="1" max="1" width="19.875" style="117" hidden="1" customWidth="1"/>
    <col min="2" max="2" width="8.375" style="117" hidden="1" customWidth="1"/>
    <col min="3" max="3" width="9.375" style="117" hidden="1" customWidth="1"/>
    <col min="4" max="4" width="10.125" style="5" customWidth="1"/>
    <col min="5" max="10" width="2.375" style="6" customWidth="1"/>
    <col min="11" max="11" width="10.125" style="6" customWidth="1"/>
    <col min="12" max="12" width="9.75" style="6" customWidth="1"/>
    <col min="13" max="14" width="8.5" style="7" bestFit="1" customWidth="1"/>
    <col min="15" max="15" width="7.625" style="8" hidden="1" customWidth="1"/>
    <col min="16" max="16" width="6" style="9" bestFit="1" customWidth="1"/>
    <col min="17" max="17" width="5.375" style="9" bestFit="1" customWidth="1"/>
    <col min="18" max="18" width="8.375" style="10" hidden="1" customWidth="1"/>
    <col min="19" max="19" width="4.25" style="10" hidden="1" customWidth="1"/>
    <col min="20" max="20" width="13.125" style="7" hidden="1" customWidth="1"/>
    <col min="21" max="21" width="13.625" style="7" hidden="1" customWidth="1"/>
    <col min="22" max="22" width="8.375" style="11" hidden="1" customWidth="1"/>
    <col min="23" max="23" width="6.625" style="12" hidden="1" customWidth="1"/>
    <col min="24" max="24" width="4.75" style="13" customWidth="1"/>
    <col min="25" max="25" width="9.25" style="8" customWidth="1"/>
    <col min="26" max="26" width="11.5" style="14" customWidth="1"/>
    <col min="27" max="27" width="7" style="15" customWidth="1"/>
    <col min="28" max="28" width="7.125" style="16" customWidth="1"/>
    <col min="29" max="140" width="1.875" style="114" customWidth="1"/>
    <col min="141" max="16384" width="10" style="114"/>
  </cols>
  <sheetData>
    <row r="1" spans="1:140" s="158" customFormat="1" ht="20.100000000000001" customHeight="1">
      <c r="A1" s="141"/>
      <c r="B1" s="151"/>
      <c r="C1" s="142"/>
      <c r="D1" s="143" t="str">
        <f ca="1">xlgantt.ProjectName()</f>
        <v>스마트 팩토리 프로젝트</v>
      </c>
      <c r="E1" s="144"/>
      <c r="F1" s="144"/>
      <c r="G1" s="144"/>
      <c r="H1" s="144"/>
      <c r="I1" s="144"/>
      <c r="J1" s="144"/>
      <c r="K1" s="144"/>
      <c r="L1" s="144"/>
      <c r="M1" s="144"/>
      <c r="N1" s="145"/>
      <c r="O1" s="146"/>
      <c r="P1" s="147"/>
      <c r="Q1" s="148"/>
      <c r="R1" s="149"/>
      <c r="S1" s="149"/>
      <c r="T1" s="150"/>
      <c r="U1" s="150"/>
      <c r="V1" s="151"/>
      <c r="W1" s="152"/>
      <c r="X1" s="153"/>
      <c r="Y1" s="154"/>
      <c r="Z1" s="155"/>
      <c r="AA1" s="156"/>
      <c r="AB1" s="157" t="str">
        <f ca="1">xlgantt.ProjectProgressString()</f>
        <v>2021-07-17~2021-10-23 [계획:83.23% 실적:89.36%]</v>
      </c>
      <c r="AC1" s="242" t="s">
        <v>1092</v>
      </c>
      <c r="AD1" s="242"/>
      <c r="AE1" s="242"/>
      <c r="AF1" s="242"/>
      <c r="AG1" s="242"/>
      <c r="AH1" s="242"/>
      <c r="AI1" s="242"/>
      <c r="AJ1" s="242"/>
      <c r="AK1" s="242"/>
      <c r="AL1" s="242"/>
      <c r="AM1" s="242"/>
      <c r="AN1" s="242"/>
      <c r="AO1" s="242"/>
      <c r="AP1" s="242"/>
      <c r="AQ1" s="242"/>
      <c r="AR1" s="242"/>
      <c r="AS1" s="242"/>
      <c r="AT1" s="242"/>
      <c r="AU1" s="242"/>
      <c r="AV1" s="242"/>
      <c r="AW1" s="242"/>
      <c r="AX1" s="242"/>
      <c r="AY1" s="242"/>
      <c r="AZ1" s="242"/>
      <c r="BA1" s="242"/>
      <c r="BB1" s="242"/>
      <c r="BC1" s="242"/>
      <c r="BD1" s="242"/>
      <c r="BE1" s="242"/>
      <c r="BF1" s="242"/>
      <c r="BG1" s="242"/>
      <c r="BH1" s="242"/>
      <c r="BI1" s="242"/>
      <c r="BJ1" s="242"/>
      <c r="BK1" s="242"/>
      <c r="BL1" s="242"/>
      <c r="BM1" s="242"/>
      <c r="BN1" s="242"/>
      <c r="BO1" s="242"/>
      <c r="BP1" s="242"/>
      <c r="BQ1" s="242"/>
      <c r="BR1" s="242"/>
      <c r="BS1" s="242"/>
      <c r="BT1" s="242"/>
      <c r="BU1" s="242"/>
      <c r="BV1" s="242"/>
      <c r="BW1" s="242"/>
      <c r="BX1" s="242"/>
      <c r="BY1" s="242"/>
      <c r="BZ1" s="242"/>
      <c r="CA1" s="242"/>
    </row>
    <row r="2" spans="1:140" s="158" customFormat="1" ht="15" customHeight="1">
      <c r="A2" s="159"/>
      <c r="B2" s="159"/>
      <c r="C2" s="160"/>
      <c r="D2" s="228"/>
      <c r="E2" s="228"/>
      <c r="F2" s="228"/>
      <c r="G2" s="161"/>
      <c r="H2" s="162"/>
      <c r="I2" s="161"/>
      <c r="J2" s="161"/>
      <c r="K2" s="161"/>
      <c r="L2" s="161"/>
      <c r="M2" s="161"/>
      <c r="N2" s="161"/>
      <c r="O2" s="161"/>
      <c r="P2" s="161"/>
      <c r="Q2" s="161"/>
      <c r="R2" s="161"/>
      <c r="S2" s="161"/>
      <c r="T2" s="161"/>
      <c r="U2" s="161"/>
      <c r="V2" s="161"/>
      <c r="W2" s="161"/>
      <c r="X2" s="161"/>
      <c r="Y2" s="161"/>
      <c r="Z2" s="163"/>
      <c r="AA2" s="164"/>
      <c r="AB2" s="161" t="str">
        <f ca="1">xlgantt.CommentOnHeadArea()</f>
        <v>별(*)표시는 필수입력, 주황색열은 자동계산</v>
      </c>
      <c r="AC2" s="165" t="s">
        <v>1108</v>
      </c>
    </row>
    <row r="3" spans="1:140" s="1" customFormat="1" ht="20.100000000000001" customHeight="1">
      <c r="A3" s="232" t="s">
        <v>1162</v>
      </c>
      <c r="B3" s="229" t="s">
        <v>1163</v>
      </c>
      <c r="C3" s="235" t="s">
        <v>1130</v>
      </c>
      <c r="D3" s="236" t="s">
        <v>1143</v>
      </c>
      <c r="E3" s="237" t="s">
        <v>1144</v>
      </c>
      <c r="F3" s="238"/>
      <c r="G3" s="238"/>
      <c r="H3" s="238"/>
      <c r="I3" s="238"/>
      <c r="J3" s="238"/>
      <c r="K3" s="239"/>
      <c r="L3" s="223" t="s">
        <v>1137</v>
      </c>
      <c r="M3" s="223" t="s">
        <v>1138</v>
      </c>
      <c r="N3" s="223" t="s">
        <v>1145</v>
      </c>
      <c r="O3" s="230" t="s">
        <v>1139</v>
      </c>
      <c r="P3" s="231" t="s">
        <v>1124</v>
      </c>
      <c r="Q3" s="231" t="s">
        <v>1167</v>
      </c>
      <c r="R3" s="231" t="s">
        <v>1131</v>
      </c>
      <c r="S3" s="231" t="s">
        <v>1140</v>
      </c>
      <c r="T3" s="222" t="s">
        <v>1146</v>
      </c>
      <c r="U3" s="222" t="s">
        <v>1141</v>
      </c>
      <c r="V3" s="224" t="s">
        <v>1147</v>
      </c>
      <c r="W3" s="225" t="s">
        <v>1148</v>
      </c>
      <c r="X3" s="226" t="s">
        <v>1125</v>
      </c>
      <c r="Y3" s="223" t="s">
        <v>1109</v>
      </c>
      <c r="Z3" s="229" t="s">
        <v>1164</v>
      </c>
      <c r="AA3" s="227" t="s">
        <v>1168</v>
      </c>
      <c r="AB3" s="221" t="s">
        <v>1132</v>
      </c>
      <c r="AC3" s="240">
        <v>44388</v>
      </c>
      <c r="AD3" s="241"/>
      <c r="AE3" s="241"/>
      <c r="AF3" s="241"/>
      <c r="AG3" s="241">
        <v>44416</v>
      </c>
      <c r="AH3" s="241"/>
      <c r="AI3" s="241"/>
      <c r="AJ3" s="241"/>
      <c r="AK3" s="241">
        <v>44444</v>
      </c>
      <c r="AL3" s="241"/>
      <c r="AM3" s="241"/>
      <c r="AN3" s="241"/>
      <c r="AO3" s="241">
        <v>44472</v>
      </c>
      <c r="AP3" s="241"/>
      <c r="AQ3" s="241"/>
      <c r="AR3" s="243"/>
    </row>
    <row r="4" spans="1:140" s="2" customFormat="1" ht="5.0999999999999996" customHeight="1">
      <c r="A4" s="233"/>
      <c r="B4" s="234"/>
      <c r="C4" s="232"/>
      <c r="D4" s="236"/>
      <c r="E4" s="237"/>
      <c r="F4" s="238"/>
      <c r="G4" s="238"/>
      <c r="H4" s="238"/>
      <c r="I4" s="238"/>
      <c r="J4" s="238"/>
      <c r="K4" s="239"/>
      <c r="L4" s="223"/>
      <c r="M4" s="223"/>
      <c r="N4" s="223"/>
      <c r="O4" s="230"/>
      <c r="P4" s="231"/>
      <c r="Q4" s="231"/>
      <c r="R4" s="231"/>
      <c r="S4" s="231"/>
      <c r="T4" s="223"/>
      <c r="U4" s="223"/>
      <c r="V4" s="224"/>
      <c r="W4" s="225"/>
      <c r="X4" s="226"/>
      <c r="Y4" s="223"/>
      <c r="Z4" s="229"/>
      <c r="AA4" s="227"/>
      <c r="AB4" s="221"/>
      <c r="AC4" s="112">
        <v>44388</v>
      </c>
      <c r="AD4" s="113">
        <v>44395</v>
      </c>
      <c r="AE4" s="113">
        <v>44402</v>
      </c>
      <c r="AF4" s="113">
        <v>44409</v>
      </c>
      <c r="AG4" s="113">
        <v>44416</v>
      </c>
      <c r="AH4" s="113">
        <v>44423</v>
      </c>
      <c r="AI4" s="113">
        <v>44430</v>
      </c>
      <c r="AJ4" s="113">
        <v>44437</v>
      </c>
      <c r="AK4" s="113">
        <v>44444</v>
      </c>
      <c r="AL4" s="113">
        <v>44451</v>
      </c>
      <c r="AM4" s="113">
        <v>44458</v>
      </c>
      <c r="AN4" s="113">
        <v>44465</v>
      </c>
      <c r="AO4" s="113">
        <v>44472</v>
      </c>
      <c r="AP4" s="113">
        <v>44479</v>
      </c>
      <c r="AQ4" s="113">
        <v>44486</v>
      </c>
      <c r="AR4" s="115">
        <v>44493</v>
      </c>
      <c r="AS4" s="121"/>
      <c r="AT4" s="122"/>
      <c r="AU4" s="122"/>
      <c r="AV4" s="122"/>
      <c r="AW4" s="122"/>
      <c r="AX4" s="122"/>
      <c r="AY4" s="122"/>
      <c r="AZ4" s="122"/>
      <c r="BA4" s="122"/>
      <c r="BB4" s="122"/>
      <c r="BC4" s="122"/>
      <c r="BD4" s="122"/>
      <c r="BE4" s="122"/>
      <c r="BF4" s="122"/>
      <c r="BG4" s="122"/>
      <c r="BH4" s="122"/>
      <c r="BI4" s="122"/>
      <c r="BJ4" s="122"/>
      <c r="BK4" s="122"/>
      <c r="BL4" s="122"/>
      <c r="BM4" s="122"/>
      <c r="BN4" s="122"/>
      <c r="BO4" s="122"/>
      <c r="BP4" s="122"/>
      <c r="BQ4" s="122"/>
      <c r="BR4" s="122"/>
      <c r="BS4" s="122"/>
      <c r="BT4" s="122"/>
      <c r="BU4" s="122"/>
      <c r="BV4" s="122"/>
      <c r="BW4" s="122"/>
      <c r="BX4" s="122"/>
      <c r="BY4" s="122"/>
      <c r="BZ4" s="122"/>
      <c r="CA4" s="122"/>
      <c r="CB4" s="122"/>
      <c r="CC4" s="122"/>
      <c r="CD4" s="122"/>
      <c r="CE4" s="122"/>
      <c r="CF4" s="122"/>
      <c r="CG4" s="122"/>
      <c r="CH4" s="122"/>
      <c r="CI4" s="122"/>
      <c r="CJ4" s="122"/>
      <c r="CK4" s="122"/>
      <c r="CL4" s="122"/>
      <c r="CM4" s="122"/>
      <c r="CN4" s="122"/>
      <c r="CO4" s="122"/>
      <c r="CP4" s="122"/>
      <c r="CQ4" s="122"/>
      <c r="CR4" s="122"/>
      <c r="CS4" s="122"/>
      <c r="CT4" s="122"/>
      <c r="CU4" s="122"/>
      <c r="CV4" s="122"/>
      <c r="CW4" s="122"/>
      <c r="CX4" s="122"/>
      <c r="CY4" s="122"/>
      <c r="CZ4" s="122"/>
      <c r="DA4" s="122"/>
      <c r="DB4" s="122"/>
      <c r="DC4" s="122"/>
      <c r="DD4" s="122"/>
      <c r="DE4" s="122"/>
      <c r="DF4" s="122"/>
      <c r="DG4" s="122"/>
      <c r="DH4" s="122"/>
      <c r="DI4" s="122"/>
      <c r="DJ4" s="122"/>
      <c r="DK4" s="122"/>
      <c r="DL4" s="122"/>
      <c r="DM4" s="122"/>
      <c r="DN4" s="122"/>
      <c r="DO4" s="122"/>
      <c r="DP4" s="122"/>
      <c r="DQ4" s="122"/>
      <c r="DR4" s="122"/>
      <c r="DS4" s="122"/>
      <c r="DT4" s="122"/>
      <c r="DU4" s="122"/>
      <c r="DV4" s="122"/>
      <c r="DW4" s="122"/>
      <c r="DX4" s="122"/>
      <c r="DY4" s="122"/>
      <c r="DZ4" s="122"/>
      <c r="EA4" s="122"/>
      <c r="EB4" s="122"/>
      <c r="EC4" s="122"/>
      <c r="ED4" s="122"/>
      <c r="EE4" s="122"/>
      <c r="EF4" s="122"/>
      <c r="EG4" s="122"/>
      <c r="EH4" s="122"/>
      <c r="EI4" s="122"/>
      <c r="EJ4" s="122"/>
    </row>
    <row r="5" spans="1:140">
      <c r="A5" s="116"/>
      <c r="B5" s="116" t="s">
        <v>1071</v>
      </c>
      <c r="C5" s="116">
        <v>1</v>
      </c>
      <c r="D5" s="3" t="s">
        <v>1072</v>
      </c>
      <c r="E5" s="184" t="s">
        <v>538</v>
      </c>
      <c r="F5" s="184"/>
      <c r="G5" s="184"/>
      <c r="H5" s="184"/>
      <c r="I5" s="184"/>
      <c r="J5" s="184"/>
      <c r="K5" s="184"/>
      <c r="L5" s="184"/>
      <c r="M5" s="185">
        <v>44394</v>
      </c>
      <c r="N5" s="185">
        <v>44492</v>
      </c>
      <c r="O5" s="186"/>
      <c r="P5" s="187">
        <v>6</v>
      </c>
      <c r="Q5" s="187">
        <v>4</v>
      </c>
      <c r="R5" s="188">
        <v>99</v>
      </c>
      <c r="S5" s="188">
        <v>71</v>
      </c>
      <c r="T5" s="185"/>
      <c r="U5" s="185"/>
      <c r="V5" s="189">
        <v>0</v>
      </c>
      <c r="W5" s="190">
        <v>0</v>
      </c>
      <c r="X5" s="191"/>
      <c r="Y5" s="186"/>
      <c r="Z5" s="192"/>
      <c r="AA5" s="97">
        <v>0.66666666666666663</v>
      </c>
      <c r="AB5" s="193">
        <v>0.66666666666666663</v>
      </c>
      <c r="AC5" s="123"/>
      <c r="AD5" s="4"/>
      <c r="AE5" s="4"/>
      <c r="AF5" s="4"/>
      <c r="AG5" s="4"/>
      <c r="AH5" s="4"/>
      <c r="AI5" s="4"/>
      <c r="AJ5" s="4"/>
      <c r="AK5" s="4"/>
      <c r="AL5" s="4"/>
      <c r="AM5" s="4" t="str">
        <f>"  " &amp; TEXT(AB5,"#0.00%") &amp; " "</f>
        <v xml:space="preserve">  66.67% </v>
      </c>
      <c r="AN5" s="4"/>
      <c r="AO5" s="4"/>
      <c r="AP5" s="4"/>
      <c r="AQ5" s="4"/>
      <c r="AR5" s="4" t="str">
        <f>"" &amp; "프로젝트 관리" &amp; " " &amp; IF(M5="","",TEXT(M5,"M/D-")) &amp; IF(N5="","",TEXT(N5,"M/D")) &amp; " "</f>
        <v xml:space="preserve">프로젝트 관리 7/17-10/23 </v>
      </c>
      <c r="AS5" s="4"/>
      <c r="AT5" s="4"/>
      <c r="AU5" s="4"/>
      <c r="AV5" s="4"/>
      <c r="AW5" s="4"/>
      <c r="AX5" s="4"/>
      <c r="AY5" s="4"/>
      <c r="AZ5" s="4"/>
      <c r="BA5" s="4"/>
      <c r="BB5" s="4"/>
      <c r="BC5" s="4"/>
      <c r="BD5" s="4"/>
      <c r="BE5" s="4"/>
      <c r="BF5" s="4"/>
      <c r="BG5" s="4"/>
      <c r="BH5" s="4"/>
      <c r="BI5" s="4"/>
      <c r="BJ5" s="4"/>
      <c r="BK5" s="4"/>
      <c r="BL5" s="4"/>
      <c r="BM5" s="4"/>
      <c r="BN5" s="4"/>
      <c r="BO5" s="4"/>
      <c r="BP5" s="4"/>
      <c r="BQ5" s="4"/>
      <c r="BR5" s="4"/>
      <c r="BS5" s="4"/>
      <c r="BT5" s="4"/>
      <c r="BU5" s="4"/>
      <c r="BV5" s="4"/>
      <c r="BW5" s="4"/>
      <c r="BX5" s="4"/>
      <c r="BY5" s="4"/>
      <c r="BZ5" s="4"/>
      <c r="CA5" s="4"/>
      <c r="CB5" s="4"/>
      <c r="CC5" s="4"/>
      <c r="CD5" s="4"/>
      <c r="CE5" s="4"/>
      <c r="CF5" s="4"/>
      <c r="CG5" s="4"/>
      <c r="CH5" s="4"/>
      <c r="CI5" s="4"/>
      <c r="CJ5" s="4"/>
      <c r="CK5" s="4"/>
      <c r="CL5" s="4"/>
      <c r="CM5" s="4"/>
      <c r="CN5" s="4"/>
      <c r="CO5" s="4"/>
      <c r="CP5" s="4"/>
      <c r="CQ5" s="4"/>
      <c r="CR5" s="4"/>
      <c r="CS5" s="4"/>
      <c r="CT5" s="4"/>
      <c r="CU5" s="4"/>
      <c r="CV5" s="4"/>
      <c r="CW5" s="4"/>
      <c r="CX5" s="4"/>
      <c r="CY5" s="4"/>
      <c r="CZ5" s="4"/>
      <c r="DA5" s="4"/>
      <c r="DB5" s="4"/>
      <c r="DC5" s="4"/>
      <c r="DD5" s="4"/>
      <c r="DE5" s="4"/>
      <c r="DF5" s="4"/>
      <c r="DG5" s="4"/>
      <c r="DH5" s="4"/>
      <c r="DI5" s="4"/>
      <c r="DJ5" s="4"/>
      <c r="DK5" s="4"/>
      <c r="DL5" s="4"/>
      <c r="DM5" s="4"/>
      <c r="DN5" s="4"/>
      <c r="DO5" s="4"/>
      <c r="DP5" s="4"/>
      <c r="DQ5" s="4"/>
      <c r="DR5" s="4"/>
      <c r="DS5" s="4"/>
      <c r="DT5" s="4"/>
      <c r="DU5" s="4"/>
      <c r="DV5" s="4"/>
      <c r="DW5" s="4"/>
      <c r="DX5" s="4"/>
      <c r="DY5" s="4"/>
      <c r="DZ5" s="4"/>
      <c r="EA5" s="4"/>
      <c r="EB5" s="4"/>
      <c r="EC5" s="4"/>
      <c r="ED5" s="4"/>
      <c r="EE5" s="4"/>
      <c r="EF5" s="4"/>
      <c r="EG5" s="4"/>
      <c r="EH5" s="4"/>
      <c r="EI5" s="4"/>
      <c r="EJ5" s="4"/>
    </row>
    <row r="6" spans="1:140" outlineLevel="1">
      <c r="A6" s="116"/>
      <c r="B6" s="116" t="s">
        <v>1071</v>
      </c>
      <c r="C6" s="116">
        <v>2</v>
      </c>
      <c r="D6" s="3" t="s">
        <v>1073</v>
      </c>
      <c r="E6" s="184"/>
      <c r="F6" s="184" t="s">
        <v>913</v>
      </c>
      <c r="G6" s="184"/>
      <c r="H6" s="184"/>
      <c r="I6" s="184"/>
      <c r="J6" s="184"/>
      <c r="K6" s="184"/>
      <c r="L6" s="184"/>
      <c r="M6" s="185">
        <v>44394</v>
      </c>
      <c r="N6" s="185">
        <v>44401</v>
      </c>
      <c r="O6" s="186"/>
      <c r="P6" s="187">
        <v>3</v>
      </c>
      <c r="Q6" s="187">
        <v>3</v>
      </c>
      <c r="R6" s="188">
        <v>8</v>
      </c>
      <c r="S6" s="188">
        <v>8</v>
      </c>
      <c r="T6" s="185"/>
      <c r="U6" s="185"/>
      <c r="V6" s="189">
        <v>0</v>
      </c>
      <c r="W6" s="190">
        <v>0</v>
      </c>
      <c r="X6" s="191"/>
      <c r="Y6" s="186"/>
      <c r="Z6" s="192"/>
      <c r="AA6" s="97">
        <v>1</v>
      </c>
      <c r="AB6" s="193">
        <v>1</v>
      </c>
      <c r="AC6" s="123"/>
      <c r="AD6" s="4"/>
      <c r="AE6" s="4" t="str">
        <f>"" &amp; TEXT(AB6,"#0.00%") &amp; " " &amp; "프로젝트 착수 및 계획수립" &amp; " " &amp; IF(M6="","",TEXT(M6,"M/D-")) &amp; IF(N6="","",TEXT(N6,"M/D")) &amp; " "</f>
        <v xml:space="preserve">100.00% 프로젝트 착수 및 계획수립 7/17-7/24 </v>
      </c>
      <c r="AF6" s="4"/>
      <c r="AG6" s="4"/>
      <c r="AH6" s="4"/>
      <c r="AI6" s="4"/>
      <c r="AJ6" s="4"/>
      <c r="AK6" s="4"/>
      <c r="AL6" s="4"/>
      <c r="AM6" s="4"/>
      <c r="AN6" s="4"/>
      <c r="AO6" s="4"/>
      <c r="AP6" s="4"/>
      <c r="AQ6" s="4"/>
      <c r="AR6" s="4"/>
      <c r="AS6" s="4"/>
      <c r="AT6" s="4"/>
      <c r="AU6" s="4"/>
      <c r="AV6" s="4"/>
      <c r="AW6" s="4"/>
      <c r="AX6" s="4"/>
      <c r="AY6" s="4"/>
      <c r="AZ6" s="4"/>
      <c r="BA6" s="4"/>
      <c r="BB6" s="4"/>
      <c r="BC6" s="4"/>
      <c r="BD6" s="4"/>
      <c r="BE6" s="4"/>
      <c r="BF6" s="4"/>
      <c r="BG6" s="4"/>
      <c r="BH6" s="4"/>
      <c r="BI6" s="4"/>
      <c r="BJ6" s="4"/>
      <c r="BK6" s="4"/>
      <c r="BL6" s="4"/>
      <c r="BM6" s="4"/>
      <c r="BN6" s="4"/>
      <c r="BO6" s="4"/>
      <c r="BP6" s="4"/>
      <c r="BQ6" s="4"/>
      <c r="BR6" s="4"/>
      <c r="BS6" s="4"/>
      <c r="BT6" s="4"/>
      <c r="BU6" s="4"/>
      <c r="BV6" s="4"/>
      <c r="BW6" s="4"/>
      <c r="BX6" s="4"/>
      <c r="BY6" s="4"/>
      <c r="BZ6" s="4"/>
      <c r="CA6" s="4"/>
      <c r="CB6" s="4"/>
      <c r="CC6" s="4"/>
      <c r="CD6" s="4"/>
      <c r="CE6" s="4"/>
      <c r="CF6" s="4"/>
      <c r="CG6" s="4"/>
      <c r="CH6" s="4"/>
      <c r="CI6" s="4"/>
      <c r="CJ6" s="4"/>
      <c r="CK6" s="4"/>
      <c r="CL6" s="4"/>
      <c r="CM6" s="4"/>
      <c r="CN6" s="4"/>
      <c r="CO6" s="4"/>
      <c r="CP6" s="4"/>
      <c r="CQ6" s="4"/>
      <c r="CR6" s="4"/>
      <c r="CS6" s="4"/>
      <c r="CT6" s="4"/>
      <c r="CU6" s="4"/>
      <c r="CV6" s="4"/>
      <c r="CW6" s="4"/>
      <c r="CX6" s="4"/>
      <c r="CY6" s="4"/>
      <c r="CZ6" s="4"/>
      <c r="DA6" s="4"/>
      <c r="DB6" s="4"/>
      <c r="DC6" s="4"/>
      <c r="DD6" s="4"/>
      <c r="DE6" s="4"/>
      <c r="DF6" s="4"/>
      <c r="DG6" s="4"/>
      <c r="DH6" s="4"/>
      <c r="DI6" s="4"/>
      <c r="DJ6" s="4"/>
      <c r="DK6" s="4"/>
      <c r="DL6" s="4"/>
      <c r="DM6" s="4"/>
      <c r="DN6" s="4"/>
      <c r="DO6" s="4"/>
      <c r="DP6" s="4"/>
      <c r="DQ6" s="4"/>
      <c r="DR6" s="4"/>
      <c r="DS6" s="4"/>
      <c r="DT6" s="4"/>
      <c r="DU6" s="4"/>
      <c r="DV6" s="4"/>
      <c r="DW6" s="4"/>
      <c r="DX6" s="4"/>
      <c r="DY6" s="4"/>
      <c r="DZ6" s="4"/>
      <c r="EA6" s="4"/>
      <c r="EB6" s="4"/>
      <c r="EC6" s="4"/>
      <c r="ED6" s="4"/>
      <c r="EE6" s="4"/>
      <c r="EF6" s="4"/>
      <c r="EG6" s="4"/>
      <c r="EH6" s="4"/>
      <c r="EI6" s="4"/>
      <c r="EJ6" s="4"/>
    </row>
    <row r="7" spans="1:140" outlineLevel="2">
      <c r="A7" s="116"/>
      <c r="B7" s="116"/>
      <c r="C7" s="116">
        <v>3</v>
      </c>
      <c r="D7" s="3" t="s">
        <v>990</v>
      </c>
      <c r="E7" s="184"/>
      <c r="F7" s="184"/>
      <c r="G7" s="184" t="s">
        <v>0</v>
      </c>
      <c r="H7" s="184"/>
      <c r="I7" s="184"/>
      <c r="J7" s="184"/>
      <c r="K7" s="184"/>
      <c r="L7" s="184"/>
      <c r="M7" s="185">
        <v>44394</v>
      </c>
      <c r="N7" s="185">
        <v>44394</v>
      </c>
      <c r="O7" s="186"/>
      <c r="P7" s="187">
        <v>1</v>
      </c>
      <c r="Q7" s="187">
        <v>1</v>
      </c>
      <c r="R7" s="188">
        <v>1</v>
      </c>
      <c r="S7" s="188">
        <v>1</v>
      </c>
      <c r="T7" s="185">
        <v>43305</v>
      </c>
      <c r="U7" s="185">
        <v>43306</v>
      </c>
      <c r="V7" s="189">
        <v>2</v>
      </c>
      <c r="W7" s="190">
        <v>2</v>
      </c>
      <c r="X7" s="191">
        <v>1</v>
      </c>
      <c r="Y7" s="186"/>
      <c r="Z7" s="192"/>
      <c r="AA7" s="97">
        <v>1</v>
      </c>
      <c r="AB7" s="193">
        <v>1</v>
      </c>
      <c r="AC7" s="123"/>
      <c r="AD7" s="4" t="str">
        <f>"" &amp; TEXT(AB7,"#0.00%") &amp; " " &amp; "프로젝트 착수" &amp; " " &amp; IF(M7="","",TEXT(M7,"M/D-")) &amp; IF(N7="","",TEXT(N7,"M/D")) &amp; " "</f>
        <v xml:space="preserve">100.00% 프로젝트 착수 7/17-7/17 </v>
      </c>
      <c r="AE7" s="4"/>
      <c r="AF7" s="4"/>
      <c r="AG7" s="4"/>
      <c r="AH7" s="4"/>
      <c r="AI7" s="4"/>
      <c r="AJ7" s="4"/>
      <c r="AK7" s="4"/>
      <c r="AL7" s="4"/>
      <c r="AM7" s="4"/>
      <c r="AN7" s="4"/>
      <c r="AO7" s="4"/>
      <c r="AP7" s="4"/>
      <c r="AQ7" s="4"/>
      <c r="AR7" s="4"/>
      <c r="AS7" s="4"/>
      <c r="AT7" s="4"/>
      <c r="AU7" s="4"/>
      <c r="AV7" s="4"/>
      <c r="AW7" s="4"/>
      <c r="AX7" s="4"/>
      <c r="AY7" s="4"/>
      <c r="AZ7" s="4"/>
      <c r="BA7" s="4"/>
      <c r="BB7" s="4"/>
      <c r="BC7" s="4"/>
      <c r="BD7" s="4"/>
      <c r="BE7" s="4"/>
      <c r="BF7" s="4"/>
      <c r="BG7" s="4"/>
      <c r="BH7" s="4"/>
      <c r="BI7" s="4"/>
      <c r="BJ7" s="4"/>
      <c r="BK7" s="4"/>
      <c r="BL7" s="4"/>
      <c r="BM7" s="4"/>
      <c r="BN7" s="4"/>
      <c r="BO7" s="4"/>
      <c r="BP7" s="4"/>
      <c r="BQ7" s="4"/>
      <c r="BR7" s="4"/>
      <c r="BS7" s="4"/>
      <c r="BT7" s="4"/>
      <c r="BU7" s="4"/>
      <c r="BV7" s="4"/>
      <c r="BW7" s="4"/>
      <c r="BX7" s="4"/>
      <c r="BY7" s="4"/>
      <c r="BZ7" s="4"/>
      <c r="CA7" s="4"/>
      <c r="CB7" s="4"/>
      <c r="CC7" s="4"/>
      <c r="CD7" s="4"/>
      <c r="CE7" s="4"/>
      <c r="CF7" s="4"/>
      <c r="CG7" s="4"/>
      <c r="CH7" s="4"/>
      <c r="CI7" s="4"/>
      <c r="CJ7" s="4"/>
      <c r="CK7" s="4"/>
      <c r="CL7" s="4"/>
      <c r="CM7" s="4"/>
      <c r="CN7" s="4"/>
      <c r="CO7" s="4"/>
      <c r="CP7" s="4"/>
      <c r="CQ7" s="4"/>
      <c r="CR7" s="4"/>
      <c r="CS7" s="4"/>
      <c r="CT7" s="4"/>
      <c r="CU7" s="4"/>
      <c r="CV7" s="4"/>
      <c r="CW7" s="4"/>
      <c r="CX7" s="4"/>
      <c r="CY7" s="4"/>
      <c r="CZ7" s="4"/>
      <c r="DA7" s="4"/>
      <c r="DB7" s="4"/>
      <c r="DC7" s="4"/>
      <c r="DD7" s="4"/>
      <c r="DE7" s="4"/>
      <c r="DF7" s="4"/>
      <c r="DG7" s="4"/>
      <c r="DH7" s="4"/>
      <c r="DI7" s="4"/>
      <c r="DJ7" s="4"/>
      <c r="DK7" s="4"/>
      <c r="DL7" s="4"/>
      <c r="DM7" s="4"/>
      <c r="DN7" s="4"/>
      <c r="DO7" s="4"/>
      <c r="DP7" s="4"/>
      <c r="DQ7" s="4"/>
      <c r="DR7" s="4"/>
      <c r="DS7" s="4"/>
      <c r="DT7" s="4"/>
      <c r="DU7" s="4"/>
      <c r="DV7" s="4"/>
      <c r="DW7" s="4"/>
      <c r="DX7" s="4"/>
      <c r="DY7" s="4"/>
      <c r="DZ7" s="4"/>
      <c r="EA7" s="4"/>
      <c r="EB7" s="4"/>
      <c r="EC7" s="4"/>
      <c r="ED7" s="4"/>
      <c r="EE7" s="4"/>
      <c r="EF7" s="4"/>
      <c r="EG7" s="4"/>
      <c r="EH7" s="4"/>
      <c r="EI7" s="4"/>
      <c r="EJ7" s="4"/>
    </row>
    <row r="8" spans="1:140" outlineLevel="2">
      <c r="A8" s="116"/>
      <c r="B8" s="116" t="s">
        <v>1071</v>
      </c>
      <c r="C8" s="116">
        <v>3</v>
      </c>
      <c r="D8" s="3" t="s">
        <v>1074</v>
      </c>
      <c r="E8" s="184"/>
      <c r="F8" s="184"/>
      <c r="G8" s="184" t="s">
        <v>914</v>
      </c>
      <c r="H8" s="184"/>
      <c r="I8" s="184"/>
      <c r="J8" s="184"/>
      <c r="K8" s="184"/>
      <c r="L8" s="184"/>
      <c r="M8" s="185">
        <v>44394</v>
      </c>
      <c r="N8" s="185">
        <v>44401</v>
      </c>
      <c r="O8" s="186"/>
      <c r="P8" s="187">
        <v>2</v>
      </c>
      <c r="Q8" s="187">
        <v>2</v>
      </c>
      <c r="R8" s="188">
        <v>8</v>
      </c>
      <c r="S8" s="188">
        <v>8</v>
      </c>
      <c r="T8" s="185"/>
      <c r="U8" s="185"/>
      <c r="V8" s="189">
        <v>0</v>
      </c>
      <c r="W8" s="190">
        <v>0</v>
      </c>
      <c r="X8" s="191"/>
      <c r="Y8" s="186"/>
      <c r="Z8" s="192"/>
      <c r="AA8" s="97">
        <v>1</v>
      </c>
      <c r="AB8" s="193">
        <v>1</v>
      </c>
      <c r="AC8" s="123"/>
      <c r="AD8" s="4"/>
      <c r="AE8" s="4" t="str">
        <f>"" &amp; TEXT(AB8,"#0.00%") &amp; " " &amp; "프로젝트 범위정의" &amp; " " &amp; IF(M8="","",TEXT(M8,"M/D-")) &amp; IF(N8="","",TEXT(N8,"M/D")) &amp; " "</f>
        <v xml:space="preserve">100.00% 프로젝트 범위정의 7/17-7/24 </v>
      </c>
      <c r="AF8" s="4"/>
      <c r="AG8" s="4"/>
      <c r="AH8" s="4"/>
      <c r="AI8" s="4"/>
      <c r="AJ8" s="4"/>
      <c r="AK8" s="4"/>
      <c r="AL8" s="4"/>
      <c r="AM8" s="4"/>
      <c r="AN8" s="4"/>
      <c r="AO8" s="4"/>
      <c r="AP8" s="4"/>
      <c r="AQ8" s="4"/>
      <c r="AR8" s="4"/>
      <c r="AS8" s="4"/>
      <c r="AT8" s="4"/>
      <c r="AU8" s="4"/>
      <c r="AV8" s="4"/>
      <c r="AW8" s="4"/>
      <c r="AX8" s="4"/>
      <c r="AY8" s="4"/>
      <c r="AZ8" s="4"/>
      <c r="BA8" s="4"/>
      <c r="BB8" s="4"/>
      <c r="BC8" s="4"/>
      <c r="BD8" s="4"/>
      <c r="BE8" s="4"/>
      <c r="BF8" s="4"/>
      <c r="BG8" s="4"/>
      <c r="BH8" s="4"/>
      <c r="BI8" s="4"/>
      <c r="BJ8" s="4"/>
      <c r="BK8" s="4"/>
      <c r="BL8" s="4"/>
      <c r="BM8" s="4"/>
      <c r="BN8" s="4"/>
      <c r="BO8" s="4"/>
      <c r="BP8" s="4"/>
      <c r="BQ8" s="4"/>
      <c r="BR8" s="4"/>
      <c r="BS8" s="4"/>
      <c r="BT8" s="4"/>
      <c r="BU8" s="4"/>
      <c r="BV8" s="4"/>
      <c r="BW8" s="4"/>
      <c r="BX8" s="4"/>
      <c r="BY8" s="4"/>
      <c r="BZ8" s="4"/>
      <c r="CA8" s="4"/>
      <c r="CB8" s="4"/>
      <c r="CC8" s="4"/>
      <c r="CD8" s="4"/>
      <c r="CE8" s="4"/>
      <c r="CF8" s="4"/>
      <c r="CG8" s="4"/>
      <c r="CH8" s="4"/>
      <c r="CI8" s="4"/>
      <c r="CJ8" s="4"/>
      <c r="CK8" s="4"/>
      <c r="CL8" s="4"/>
      <c r="CM8" s="4"/>
      <c r="CN8" s="4"/>
      <c r="CO8" s="4"/>
      <c r="CP8" s="4"/>
      <c r="CQ8" s="4"/>
      <c r="CR8" s="4"/>
      <c r="CS8" s="4"/>
      <c r="CT8" s="4"/>
      <c r="CU8" s="4"/>
      <c r="CV8" s="4"/>
      <c r="CW8" s="4"/>
      <c r="CX8" s="4"/>
      <c r="CY8" s="4"/>
      <c r="CZ8" s="4"/>
      <c r="DA8" s="4"/>
      <c r="DB8" s="4"/>
      <c r="DC8" s="4"/>
      <c r="DD8" s="4"/>
      <c r="DE8" s="4"/>
      <c r="DF8" s="4"/>
      <c r="DG8" s="4"/>
      <c r="DH8" s="4"/>
      <c r="DI8" s="4"/>
      <c r="DJ8" s="4"/>
      <c r="DK8" s="4"/>
      <c r="DL8" s="4"/>
      <c r="DM8" s="4"/>
      <c r="DN8" s="4"/>
      <c r="DO8" s="4"/>
      <c r="DP8" s="4"/>
      <c r="DQ8" s="4"/>
      <c r="DR8" s="4"/>
      <c r="DS8" s="4"/>
      <c r="DT8" s="4"/>
      <c r="DU8" s="4"/>
      <c r="DV8" s="4"/>
      <c r="DW8" s="4"/>
      <c r="DX8" s="4"/>
      <c r="DY8" s="4"/>
      <c r="DZ8" s="4"/>
      <c r="EA8" s="4"/>
      <c r="EB8" s="4"/>
      <c r="EC8" s="4"/>
      <c r="ED8" s="4"/>
      <c r="EE8" s="4"/>
      <c r="EF8" s="4"/>
      <c r="EG8" s="4"/>
      <c r="EH8" s="4"/>
      <c r="EI8" s="4"/>
      <c r="EJ8" s="4"/>
    </row>
    <row r="9" spans="1:140" outlineLevel="3">
      <c r="A9" s="116"/>
      <c r="B9" s="116"/>
      <c r="C9" s="116">
        <v>4</v>
      </c>
      <c r="D9" s="3" t="s">
        <v>449</v>
      </c>
      <c r="E9" s="184"/>
      <c r="F9" s="184"/>
      <c r="G9" s="184"/>
      <c r="H9" s="184" t="s">
        <v>427</v>
      </c>
      <c r="I9" s="184"/>
      <c r="J9" s="184"/>
      <c r="K9" s="184"/>
      <c r="L9" s="184"/>
      <c r="M9" s="185">
        <v>44401</v>
      </c>
      <c r="N9" s="185">
        <v>44401</v>
      </c>
      <c r="O9" s="186"/>
      <c r="P9" s="187">
        <v>1</v>
      </c>
      <c r="Q9" s="187">
        <v>1</v>
      </c>
      <c r="R9" s="188">
        <v>1</v>
      </c>
      <c r="S9" s="188">
        <v>1</v>
      </c>
      <c r="T9" s="185">
        <v>43309</v>
      </c>
      <c r="U9" s="185">
        <v>43315</v>
      </c>
      <c r="V9" s="189">
        <v>7</v>
      </c>
      <c r="W9" s="190">
        <v>7</v>
      </c>
      <c r="X9" s="191">
        <v>1</v>
      </c>
      <c r="Y9" s="186"/>
      <c r="Z9" s="192"/>
      <c r="AA9" s="97">
        <v>1</v>
      </c>
      <c r="AB9" s="193">
        <v>1</v>
      </c>
      <c r="AC9" s="123"/>
      <c r="AD9" s="4"/>
      <c r="AE9" s="4" t="str">
        <f>"" &amp; TEXT(AB9,"#0.00%") &amp; " " &amp; "프로젝트 계획 수립" &amp; " " &amp; IF(M9="","",TEXT(M9,"M/D-")) &amp; IF(N9="","",TEXT(N9,"M/D")) &amp; " "</f>
        <v xml:space="preserve">100.00% 프로젝트 계획 수립 7/24-7/24 </v>
      </c>
      <c r="AF9" s="4"/>
      <c r="AG9" s="4"/>
      <c r="AH9" s="4"/>
      <c r="AI9" s="4"/>
      <c r="AJ9" s="4"/>
      <c r="AK9" s="4"/>
      <c r="AL9" s="4"/>
      <c r="AM9" s="4"/>
      <c r="AN9" s="4"/>
      <c r="AO9" s="4"/>
      <c r="AP9" s="4"/>
      <c r="AQ9" s="4"/>
      <c r="AR9" s="4"/>
      <c r="AS9" s="4"/>
      <c r="AT9" s="4"/>
      <c r="AU9" s="4"/>
      <c r="AV9" s="4"/>
      <c r="AW9" s="4"/>
      <c r="AX9" s="4"/>
      <c r="AY9" s="4"/>
      <c r="AZ9" s="4"/>
      <c r="BA9" s="4"/>
      <c r="BB9" s="4"/>
      <c r="BC9" s="4"/>
      <c r="BD9" s="4"/>
      <c r="BE9" s="4"/>
      <c r="BF9" s="4"/>
      <c r="BG9" s="4"/>
      <c r="BH9" s="4"/>
      <c r="BI9" s="4"/>
      <c r="BJ9" s="4"/>
      <c r="BK9" s="4"/>
      <c r="BL9" s="4"/>
      <c r="BM9" s="4"/>
      <c r="BN9" s="4"/>
      <c r="BO9" s="4"/>
      <c r="BP9" s="4"/>
      <c r="BQ9" s="4"/>
      <c r="BR9" s="4"/>
      <c r="BS9" s="4"/>
      <c r="BT9" s="4"/>
      <c r="BU9" s="4"/>
      <c r="BV9" s="4"/>
      <c r="BW9" s="4"/>
      <c r="BX9" s="4"/>
      <c r="BY9" s="4"/>
      <c r="BZ9" s="4"/>
      <c r="CA9" s="4"/>
      <c r="CB9" s="4"/>
      <c r="CC9" s="4"/>
      <c r="CD9" s="4"/>
      <c r="CE9" s="4"/>
      <c r="CF9" s="4"/>
      <c r="CG9" s="4"/>
      <c r="CH9" s="4"/>
      <c r="CI9" s="4"/>
      <c r="CJ9" s="4"/>
      <c r="CK9" s="4"/>
      <c r="CL9" s="4"/>
      <c r="CM9" s="4"/>
      <c r="CN9" s="4"/>
      <c r="CO9" s="4"/>
      <c r="CP9" s="4"/>
      <c r="CQ9" s="4"/>
      <c r="CR9" s="4"/>
      <c r="CS9" s="4"/>
      <c r="CT9" s="4"/>
      <c r="CU9" s="4"/>
      <c r="CV9" s="4"/>
      <c r="CW9" s="4"/>
      <c r="CX9" s="4"/>
      <c r="CY9" s="4"/>
      <c r="CZ9" s="4"/>
      <c r="DA9" s="4"/>
      <c r="DB9" s="4"/>
      <c r="DC9" s="4"/>
      <c r="DD9" s="4"/>
      <c r="DE9" s="4"/>
      <c r="DF9" s="4"/>
      <c r="DG9" s="4"/>
      <c r="DH9" s="4"/>
      <c r="DI9" s="4"/>
      <c r="DJ9" s="4"/>
      <c r="DK9" s="4"/>
      <c r="DL9" s="4"/>
      <c r="DM9" s="4"/>
      <c r="DN9" s="4"/>
      <c r="DO9" s="4"/>
      <c r="DP9" s="4"/>
      <c r="DQ9" s="4"/>
      <c r="DR9" s="4"/>
      <c r="DS9" s="4"/>
      <c r="DT9" s="4"/>
      <c r="DU9" s="4"/>
      <c r="DV9" s="4"/>
      <c r="DW9" s="4"/>
      <c r="DX9" s="4"/>
      <c r="DY9" s="4"/>
      <c r="DZ9" s="4"/>
      <c r="EA9" s="4"/>
      <c r="EB9" s="4"/>
      <c r="EC9" s="4"/>
      <c r="ED9" s="4"/>
      <c r="EE9" s="4"/>
      <c r="EF9" s="4"/>
      <c r="EG9" s="4"/>
      <c r="EH9" s="4"/>
      <c r="EI9" s="4"/>
      <c r="EJ9" s="4"/>
    </row>
    <row r="10" spans="1:140" outlineLevel="3">
      <c r="A10" s="116"/>
      <c r="B10" s="116"/>
      <c r="C10" s="116">
        <v>4</v>
      </c>
      <c r="D10" s="3" t="s">
        <v>450</v>
      </c>
      <c r="E10" s="184"/>
      <c r="F10" s="184"/>
      <c r="G10" s="184"/>
      <c r="H10" s="184" t="s">
        <v>438</v>
      </c>
      <c r="I10" s="184"/>
      <c r="J10" s="184"/>
      <c r="K10" s="184"/>
      <c r="L10" s="184"/>
      <c r="M10" s="185">
        <v>44394</v>
      </c>
      <c r="N10" s="185">
        <v>44394</v>
      </c>
      <c r="O10" s="186"/>
      <c r="P10" s="187">
        <v>1</v>
      </c>
      <c r="Q10" s="187">
        <v>1</v>
      </c>
      <c r="R10" s="188">
        <v>1</v>
      </c>
      <c r="S10" s="188">
        <v>1</v>
      </c>
      <c r="T10" s="185"/>
      <c r="U10" s="185"/>
      <c r="V10" s="189"/>
      <c r="W10" s="190">
        <v>0</v>
      </c>
      <c r="X10" s="191">
        <v>1</v>
      </c>
      <c r="Y10" s="186"/>
      <c r="Z10" s="192"/>
      <c r="AA10" s="97">
        <v>1</v>
      </c>
      <c r="AB10" s="193">
        <v>1</v>
      </c>
      <c r="AC10" s="123"/>
      <c r="AD10" s="4" t="str">
        <f>"" &amp; TEXT(AB10,"#0.00%") &amp; " " &amp; "착수보고(Kick off)" &amp; " " &amp; IF(M10="","",TEXT(M10,"M/D-")) &amp; IF(N10="","",TEXT(N10,"M/D")) &amp; " "</f>
        <v xml:space="preserve">100.00% 착수보고(Kick off) 7/17-7/17 </v>
      </c>
      <c r="AE10" s="4"/>
      <c r="AF10" s="4"/>
      <c r="AG10" s="4"/>
      <c r="AH10" s="4"/>
      <c r="AI10" s="4"/>
      <c r="AJ10" s="4"/>
      <c r="AK10" s="4"/>
      <c r="AL10" s="4"/>
      <c r="AM10" s="4"/>
      <c r="AN10" s="4"/>
      <c r="AO10" s="4"/>
      <c r="AP10" s="4"/>
      <c r="AQ10" s="4"/>
      <c r="AR10" s="4"/>
      <c r="AS10" s="4"/>
      <c r="AT10" s="4"/>
      <c r="AU10" s="4"/>
      <c r="AV10" s="4"/>
      <c r="AW10" s="4"/>
      <c r="AX10" s="4"/>
      <c r="AY10" s="4"/>
      <c r="AZ10" s="4"/>
      <c r="BA10" s="4"/>
      <c r="BB10" s="4"/>
      <c r="BC10" s="4"/>
      <c r="BD10" s="4"/>
      <c r="BE10" s="4"/>
      <c r="BF10" s="4"/>
      <c r="BG10" s="4"/>
      <c r="BH10" s="4"/>
      <c r="BI10" s="4"/>
      <c r="BJ10" s="4"/>
      <c r="BK10" s="4"/>
      <c r="BL10" s="4"/>
      <c r="BM10" s="4"/>
      <c r="BN10" s="4"/>
      <c r="BO10" s="4"/>
      <c r="BP10" s="4"/>
      <c r="BQ10" s="4"/>
      <c r="BR10" s="4"/>
      <c r="BS10" s="4"/>
      <c r="BT10" s="4"/>
      <c r="BU10" s="4"/>
      <c r="BV10" s="4"/>
      <c r="BW10" s="4"/>
      <c r="BX10" s="4"/>
      <c r="BY10" s="4"/>
      <c r="BZ10" s="4"/>
      <c r="CA10" s="4"/>
      <c r="CB10" s="4"/>
      <c r="CC10" s="4"/>
      <c r="CD10" s="4"/>
      <c r="CE10" s="4"/>
      <c r="CF10" s="4"/>
      <c r="CG10" s="4"/>
      <c r="CH10" s="4"/>
      <c r="CI10" s="4"/>
      <c r="CJ10" s="4"/>
      <c r="CK10" s="4"/>
      <c r="CL10" s="4"/>
      <c r="CM10" s="4"/>
      <c r="CN10" s="4"/>
      <c r="CO10" s="4"/>
      <c r="CP10" s="4"/>
      <c r="CQ10" s="4"/>
      <c r="CR10" s="4"/>
      <c r="CS10" s="4"/>
      <c r="CT10" s="4"/>
      <c r="CU10" s="4"/>
      <c r="CV10" s="4"/>
      <c r="CW10" s="4"/>
      <c r="CX10" s="4"/>
      <c r="CY10" s="4"/>
      <c r="CZ10" s="4"/>
      <c r="DA10" s="4"/>
      <c r="DB10" s="4"/>
      <c r="DC10" s="4"/>
      <c r="DD10" s="4"/>
      <c r="DE10" s="4"/>
      <c r="DF10" s="4"/>
      <c r="DG10" s="4"/>
      <c r="DH10" s="4"/>
      <c r="DI10" s="4"/>
      <c r="DJ10" s="4"/>
      <c r="DK10" s="4"/>
      <c r="DL10" s="4"/>
      <c r="DM10" s="4"/>
      <c r="DN10" s="4"/>
      <c r="DO10" s="4"/>
      <c r="DP10" s="4"/>
      <c r="DQ10" s="4"/>
      <c r="DR10" s="4"/>
      <c r="DS10" s="4"/>
      <c r="DT10" s="4"/>
      <c r="DU10" s="4"/>
      <c r="DV10" s="4"/>
      <c r="DW10" s="4"/>
      <c r="DX10" s="4"/>
      <c r="DY10" s="4"/>
      <c r="DZ10" s="4"/>
      <c r="EA10" s="4"/>
      <c r="EB10" s="4"/>
      <c r="EC10" s="4"/>
      <c r="ED10" s="4"/>
      <c r="EE10" s="4"/>
      <c r="EF10" s="4"/>
      <c r="EG10" s="4"/>
      <c r="EH10" s="4"/>
      <c r="EI10" s="4"/>
      <c r="EJ10" s="4"/>
    </row>
    <row r="11" spans="1:140" outlineLevel="1">
      <c r="A11" s="116"/>
      <c r="B11" s="116" t="s">
        <v>1071</v>
      </c>
      <c r="C11" s="116">
        <v>2</v>
      </c>
      <c r="D11" s="3" t="s">
        <v>1075</v>
      </c>
      <c r="E11" s="184"/>
      <c r="F11" s="184" t="s">
        <v>993</v>
      </c>
      <c r="G11" s="184"/>
      <c r="H11" s="184"/>
      <c r="I11" s="184"/>
      <c r="J11" s="184"/>
      <c r="K11" s="184"/>
      <c r="L11" s="184"/>
      <c r="M11" s="185">
        <v>44464</v>
      </c>
      <c r="N11" s="185">
        <v>44485</v>
      </c>
      <c r="O11" s="186"/>
      <c r="P11" s="187">
        <v>2</v>
      </c>
      <c r="Q11" s="187">
        <v>1</v>
      </c>
      <c r="R11" s="188">
        <v>22</v>
      </c>
      <c r="S11" s="188">
        <v>1</v>
      </c>
      <c r="T11" s="185"/>
      <c r="U11" s="185"/>
      <c r="V11" s="189">
        <v>0</v>
      </c>
      <c r="W11" s="190">
        <v>0</v>
      </c>
      <c r="X11" s="191"/>
      <c r="Y11" s="186"/>
      <c r="Z11" s="192"/>
      <c r="AA11" s="97">
        <v>0.5</v>
      </c>
      <c r="AB11" s="193">
        <v>0.5</v>
      </c>
      <c r="AC11" s="123"/>
      <c r="AD11" s="4"/>
      <c r="AE11" s="4"/>
      <c r="AF11" s="4"/>
      <c r="AG11" s="4"/>
      <c r="AH11" s="4"/>
      <c r="AI11" s="4"/>
      <c r="AJ11" s="4"/>
      <c r="AK11" s="4"/>
      <c r="AL11" s="4"/>
      <c r="AM11" s="4"/>
      <c r="AN11" s="4"/>
      <c r="AO11" s="4" t="str">
        <f>"   " &amp; TEXT(AB11,"#0.00%") &amp; " " &amp; "프로젝트 수행 및 통제" &amp; " " &amp; IF(M11="","",TEXT(M11,"M/D-")) &amp; IF(N11="","",TEXT(N11,"M/D")) &amp; " "</f>
        <v xml:space="preserve">   50.00% 프로젝트 수행 및 통제 9/25-10/16 </v>
      </c>
      <c r="AP11" s="4"/>
      <c r="AQ11" s="4"/>
      <c r="AR11" s="4"/>
      <c r="AS11" s="4"/>
      <c r="AT11" s="4"/>
      <c r="AU11" s="4"/>
      <c r="AV11" s="4"/>
      <c r="AW11" s="4"/>
      <c r="AX11" s="4"/>
      <c r="AY11" s="4"/>
      <c r="AZ11" s="4"/>
      <c r="BA11" s="4"/>
      <c r="BB11" s="4"/>
      <c r="BC11" s="4"/>
      <c r="BD11" s="4"/>
      <c r="BE11" s="4"/>
      <c r="BF11" s="4"/>
      <c r="BG11" s="4"/>
      <c r="BH11" s="4"/>
      <c r="BI11" s="4"/>
      <c r="BJ11" s="4"/>
      <c r="BK11" s="4"/>
      <c r="BL11" s="4"/>
      <c r="BM11" s="4"/>
      <c r="BN11" s="4"/>
      <c r="BO11" s="4"/>
      <c r="BP11" s="4"/>
      <c r="BQ11" s="4"/>
      <c r="BR11" s="4"/>
      <c r="BS11" s="4"/>
      <c r="BT11" s="4"/>
      <c r="BU11" s="4"/>
      <c r="BV11" s="4"/>
      <c r="BW11" s="4"/>
      <c r="BX11" s="4"/>
      <c r="BY11" s="4"/>
      <c r="BZ11" s="4"/>
      <c r="CA11" s="4"/>
      <c r="CB11" s="4"/>
      <c r="CC11" s="4"/>
      <c r="CD11" s="4"/>
      <c r="CE11" s="4"/>
      <c r="CF11" s="4"/>
      <c r="CG11" s="4"/>
      <c r="CH11" s="4"/>
      <c r="CI11" s="4"/>
      <c r="CJ11" s="4"/>
      <c r="CK11" s="4"/>
      <c r="CL11" s="4"/>
      <c r="CM11" s="4"/>
      <c r="CN11" s="4"/>
      <c r="CO11" s="4"/>
      <c r="CP11" s="4"/>
      <c r="CQ11" s="4"/>
      <c r="CR11" s="4"/>
      <c r="CS11" s="4"/>
      <c r="CT11" s="4"/>
      <c r="CU11" s="4"/>
      <c r="CV11" s="4"/>
      <c r="CW11" s="4"/>
      <c r="CX11" s="4"/>
      <c r="CY11" s="4"/>
      <c r="CZ11" s="4"/>
      <c r="DA11" s="4"/>
      <c r="DB11" s="4"/>
      <c r="DC11" s="4"/>
      <c r="DD11" s="4"/>
      <c r="DE11" s="4"/>
      <c r="DF11" s="4"/>
      <c r="DG11" s="4"/>
      <c r="DH11" s="4"/>
      <c r="DI11" s="4"/>
      <c r="DJ11" s="4"/>
      <c r="DK11" s="4"/>
      <c r="DL11" s="4"/>
      <c r="DM11" s="4"/>
      <c r="DN11" s="4"/>
      <c r="DO11" s="4"/>
      <c r="DP11" s="4"/>
      <c r="DQ11" s="4"/>
      <c r="DR11" s="4"/>
      <c r="DS11" s="4"/>
      <c r="DT11" s="4"/>
      <c r="DU11" s="4"/>
      <c r="DV11" s="4"/>
      <c r="DW11" s="4"/>
      <c r="DX11" s="4"/>
      <c r="DY11" s="4"/>
      <c r="DZ11" s="4"/>
      <c r="EA11" s="4"/>
      <c r="EB11" s="4"/>
      <c r="EC11" s="4"/>
      <c r="ED11" s="4"/>
      <c r="EE11" s="4"/>
      <c r="EF11" s="4"/>
      <c r="EG11" s="4"/>
      <c r="EH11" s="4"/>
      <c r="EI11" s="4"/>
      <c r="EJ11" s="4"/>
    </row>
    <row r="12" spans="1:140" outlineLevel="2">
      <c r="A12" s="116"/>
      <c r="B12" s="116"/>
      <c r="C12" s="116">
        <v>3</v>
      </c>
      <c r="D12" s="3" t="s">
        <v>431</v>
      </c>
      <c r="E12" s="184"/>
      <c r="F12" s="184"/>
      <c r="G12" s="216" t="s">
        <v>1169</v>
      </c>
      <c r="H12" s="184"/>
      <c r="I12" s="184"/>
      <c r="J12" s="184"/>
      <c r="K12" s="184"/>
      <c r="L12" s="184"/>
      <c r="M12" s="185">
        <v>44464</v>
      </c>
      <c r="N12" s="185">
        <v>44464</v>
      </c>
      <c r="O12" s="186"/>
      <c r="P12" s="187">
        <v>1</v>
      </c>
      <c r="Q12" s="187">
        <v>1</v>
      </c>
      <c r="R12" s="188">
        <v>1</v>
      </c>
      <c r="S12" s="188">
        <v>1</v>
      </c>
      <c r="T12" s="185"/>
      <c r="U12" s="185"/>
      <c r="V12" s="189"/>
      <c r="W12" s="190">
        <v>0</v>
      </c>
      <c r="X12" s="191">
        <v>1</v>
      </c>
      <c r="Y12" s="186"/>
      <c r="Z12" s="192"/>
      <c r="AA12" s="97">
        <v>1</v>
      </c>
      <c r="AB12" s="193">
        <v>1</v>
      </c>
      <c r="AC12" s="123"/>
      <c r="AD12" s="4"/>
      <c r="AE12" s="4"/>
      <c r="AF12" s="4"/>
      <c r="AG12" s="4"/>
      <c r="AH12" s="4"/>
      <c r="AI12" s="4"/>
      <c r="AJ12" s="4"/>
      <c r="AK12" s="4"/>
      <c r="AL12" s="4"/>
      <c r="AM12" s="4"/>
      <c r="AN12" s="4" t="str">
        <f>"" &amp; TEXT(AB12,"#0.00%") &amp; " " &amp; "중간 점검" &amp; " " &amp; IF(M12="","",TEXT(M12,"M/D-")) &amp; IF(N12="","",TEXT(N12,"M/D")) &amp; " "</f>
        <v xml:space="preserve">100.00% 중간 점검 9/25-9/25 </v>
      </c>
      <c r="AO12" s="4"/>
      <c r="AP12" s="4"/>
      <c r="AQ12" s="4"/>
      <c r="AR12" s="4"/>
      <c r="AS12" s="4"/>
      <c r="AT12" s="4"/>
      <c r="AU12" s="4"/>
      <c r="AV12" s="4"/>
      <c r="AW12" s="4"/>
      <c r="AX12" s="4"/>
      <c r="AY12" s="4"/>
      <c r="AZ12" s="4"/>
      <c r="BA12" s="4"/>
      <c r="BB12" s="4"/>
      <c r="BC12" s="4"/>
      <c r="BD12" s="4"/>
      <c r="BE12" s="4"/>
      <c r="BF12" s="4"/>
      <c r="BG12" s="4"/>
      <c r="BH12" s="4"/>
      <c r="BI12" s="4"/>
      <c r="BJ12" s="4"/>
      <c r="BK12" s="4"/>
      <c r="BL12" s="4"/>
      <c r="BM12" s="4"/>
      <c r="BN12" s="4"/>
      <c r="BO12" s="4"/>
      <c r="BP12" s="4"/>
      <c r="BQ12" s="4"/>
      <c r="BR12" s="4"/>
      <c r="BS12" s="4"/>
      <c r="BT12" s="4"/>
      <c r="BU12" s="4"/>
      <c r="BV12" s="4"/>
      <c r="BW12" s="4"/>
      <c r="BX12" s="4"/>
      <c r="BY12" s="4"/>
      <c r="BZ12" s="4"/>
      <c r="CA12" s="4"/>
      <c r="CB12" s="4"/>
      <c r="CC12" s="4"/>
      <c r="CD12" s="4"/>
      <c r="CE12" s="4"/>
      <c r="CF12" s="4"/>
      <c r="CG12" s="4"/>
      <c r="CH12" s="4"/>
      <c r="CI12" s="4"/>
      <c r="CJ12" s="4"/>
      <c r="CK12" s="4"/>
      <c r="CL12" s="4"/>
      <c r="CM12" s="4"/>
      <c r="CN12" s="4"/>
      <c r="CO12" s="4"/>
      <c r="CP12" s="4"/>
      <c r="CQ12" s="4"/>
      <c r="CR12" s="4"/>
      <c r="CS12" s="4"/>
      <c r="CT12" s="4"/>
      <c r="CU12" s="4"/>
      <c r="CV12" s="4"/>
      <c r="CW12" s="4"/>
      <c r="CX12" s="4"/>
      <c r="CY12" s="4"/>
      <c r="CZ12" s="4"/>
      <c r="DA12" s="4"/>
      <c r="DB12" s="4"/>
      <c r="DC12" s="4"/>
      <c r="DD12" s="4"/>
      <c r="DE12" s="4"/>
      <c r="DF12" s="4"/>
      <c r="DG12" s="4"/>
      <c r="DH12" s="4"/>
      <c r="DI12" s="4"/>
      <c r="DJ12" s="4"/>
      <c r="DK12" s="4"/>
      <c r="DL12" s="4"/>
      <c r="DM12" s="4"/>
      <c r="DN12" s="4"/>
      <c r="DO12" s="4"/>
      <c r="DP12" s="4"/>
      <c r="DQ12" s="4"/>
      <c r="DR12" s="4"/>
      <c r="DS12" s="4"/>
      <c r="DT12" s="4"/>
      <c r="DU12" s="4"/>
      <c r="DV12" s="4"/>
      <c r="DW12" s="4"/>
      <c r="DX12" s="4"/>
      <c r="DY12" s="4"/>
      <c r="DZ12" s="4"/>
      <c r="EA12" s="4"/>
      <c r="EB12" s="4"/>
      <c r="EC12" s="4"/>
      <c r="ED12" s="4"/>
      <c r="EE12" s="4"/>
      <c r="EF12" s="4"/>
      <c r="EG12" s="4"/>
      <c r="EH12" s="4"/>
      <c r="EI12" s="4"/>
      <c r="EJ12" s="4"/>
    </row>
    <row r="13" spans="1:140" outlineLevel="2">
      <c r="A13" s="116"/>
      <c r="B13" s="116"/>
      <c r="C13" s="116">
        <v>3</v>
      </c>
      <c r="D13" s="3" t="s">
        <v>432</v>
      </c>
      <c r="E13" s="184"/>
      <c r="F13" s="184"/>
      <c r="G13" s="217" t="s">
        <v>1170</v>
      </c>
      <c r="H13" s="184"/>
      <c r="I13" s="184"/>
      <c r="J13" s="184"/>
      <c r="K13" s="184"/>
      <c r="L13" s="184"/>
      <c r="M13" s="185">
        <v>44485</v>
      </c>
      <c r="N13" s="185">
        <v>44485</v>
      </c>
      <c r="O13" s="186"/>
      <c r="P13" s="187">
        <v>1</v>
      </c>
      <c r="Q13" s="187">
        <v>0</v>
      </c>
      <c r="R13" s="188">
        <v>1</v>
      </c>
      <c r="S13" s="188">
        <v>0</v>
      </c>
      <c r="T13" s="185"/>
      <c r="U13" s="185"/>
      <c r="V13" s="189"/>
      <c r="W13" s="190">
        <v>0</v>
      </c>
      <c r="X13" s="191">
        <v>1</v>
      </c>
      <c r="Y13" s="186"/>
      <c r="Z13" s="192"/>
      <c r="AA13" s="97">
        <v>0</v>
      </c>
      <c r="AB13" s="193">
        <v>0</v>
      </c>
      <c r="AC13" s="123"/>
      <c r="AD13" s="4"/>
      <c r="AE13" s="4"/>
      <c r="AF13" s="4"/>
      <c r="AG13" s="4"/>
      <c r="AH13" s="4"/>
      <c r="AI13" s="4"/>
      <c r="AJ13" s="4"/>
      <c r="AK13" s="4"/>
      <c r="AL13" s="4"/>
      <c r="AM13" s="4"/>
      <c r="AN13" s="4"/>
      <c r="AO13" s="4"/>
      <c r="AP13" s="4" t="str">
        <f>"      " &amp; TEXT(AB13,"#0.00%") &amp; " " &amp; "발표전 최종 점검" &amp; " " &amp; IF(M13="","",TEXT(M13,"M/D-")) &amp; IF(N13="","",TEXT(N13,"M/D")) &amp; " "</f>
        <v xml:space="preserve">      0.00% 발표전 최종 점검 10/16-10/16 </v>
      </c>
      <c r="AQ13" s="4"/>
      <c r="AR13" s="4"/>
      <c r="AS13" s="4"/>
      <c r="AT13" s="4"/>
      <c r="AU13" s="4"/>
      <c r="AV13" s="4"/>
      <c r="AW13" s="4"/>
      <c r="AX13" s="4"/>
      <c r="AY13" s="4"/>
      <c r="AZ13" s="4"/>
      <c r="BA13" s="4"/>
      <c r="BB13" s="4"/>
      <c r="BC13" s="4"/>
      <c r="BD13" s="4"/>
      <c r="BE13" s="4"/>
      <c r="BF13" s="4"/>
      <c r="BG13" s="4"/>
      <c r="BH13" s="4"/>
      <c r="BI13" s="4"/>
      <c r="BJ13" s="4"/>
      <c r="BK13" s="4"/>
      <c r="BL13" s="4"/>
      <c r="BM13" s="4"/>
      <c r="BN13" s="4"/>
      <c r="BO13" s="4"/>
      <c r="BP13" s="4"/>
      <c r="BQ13" s="4"/>
      <c r="BR13" s="4"/>
      <c r="BS13" s="4"/>
      <c r="BT13" s="4"/>
      <c r="BU13" s="4"/>
      <c r="BV13" s="4"/>
      <c r="BW13" s="4"/>
      <c r="BX13" s="4"/>
      <c r="BY13" s="4"/>
      <c r="BZ13" s="4"/>
      <c r="CA13" s="4"/>
      <c r="CB13" s="4"/>
      <c r="CC13" s="4"/>
      <c r="CD13" s="4"/>
      <c r="CE13" s="4"/>
      <c r="CF13" s="4"/>
      <c r="CG13" s="4"/>
      <c r="CH13" s="4"/>
      <c r="CI13" s="4"/>
      <c r="CJ13" s="4"/>
      <c r="CK13" s="4"/>
      <c r="CL13" s="4"/>
      <c r="CM13" s="4"/>
      <c r="CN13" s="4"/>
      <c r="CO13" s="4"/>
      <c r="CP13" s="4"/>
      <c r="CQ13" s="4"/>
      <c r="CR13" s="4"/>
      <c r="CS13" s="4"/>
      <c r="CT13" s="4"/>
      <c r="CU13" s="4"/>
      <c r="CV13" s="4"/>
      <c r="CW13" s="4"/>
      <c r="CX13" s="4"/>
      <c r="CY13" s="4"/>
      <c r="CZ13" s="4"/>
      <c r="DA13" s="4"/>
      <c r="DB13" s="4"/>
      <c r="DC13" s="4"/>
      <c r="DD13" s="4"/>
      <c r="DE13" s="4"/>
      <c r="DF13" s="4"/>
      <c r="DG13" s="4"/>
      <c r="DH13" s="4"/>
      <c r="DI13" s="4"/>
      <c r="DJ13" s="4"/>
      <c r="DK13" s="4"/>
      <c r="DL13" s="4"/>
      <c r="DM13" s="4"/>
      <c r="DN13" s="4"/>
      <c r="DO13" s="4"/>
      <c r="DP13" s="4"/>
      <c r="DQ13" s="4"/>
      <c r="DR13" s="4"/>
      <c r="DS13" s="4"/>
      <c r="DT13" s="4"/>
      <c r="DU13" s="4"/>
      <c r="DV13" s="4"/>
      <c r="DW13" s="4"/>
      <c r="DX13" s="4"/>
      <c r="DY13" s="4"/>
      <c r="DZ13" s="4"/>
      <c r="EA13" s="4"/>
      <c r="EB13" s="4"/>
      <c r="EC13" s="4"/>
      <c r="ED13" s="4"/>
      <c r="EE13" s="4"/>
      <c r="EF13" s="4"/>
      <c r="EG13" s="4"/>
      <c r="EH13" s="4"/>
      <c r="EI13" s="4"/>
      <c r="EJ13" s="4"/>
    </row>
    <row r="14" spans="1:140" outlineLevel="1">
      <c r="A14" s="116"/>
      <c r="B14" s="116" t="s">
        <v>1071</v>
      </c>
      <c r="C14" s="116">
        <v>2</v>
      </c>
      <c r="D14" s="3" t="s">
        <v>1076</v>
      </c>
      <c r="E14" s="184"/>
      <c r="F14" s="184" t="s">
        <v>994</v>
      </c>
      <c r="G14" s="184"/>
      <c r="H14" s="184"/>
      <c r="I14" s="184"/>
      <c r="J14" s="184"/>
      <c r="K14" s="184"/>
      <c r="L14" s="184"/>
      <c r="M14" s="185">
        <v>44492</v>
      </c>
      <c r="N14" s="185">
        <v>44492</v>
      </c>
      <c r="O14" s="186"/>
      <c r="P14" s="187">
        <v>1</v>
      </c>
      <c r="Q14" s="187">
        <v>0</v>
      </c>
      <c r="R14" s="188">
        <v>1</v>
      </c>
      <c r="S14" s="188">
        <v>0</v>
      </c>
      <c r="T14" s="185"/>
      <c r="U14" s="185"/>
      <c r="V14" s="189">
        <v>0</v>
      </c>
      <c r="W14" s="190">
        <v>0</v>
      </c>
      <c r="X14" s="191"/>
      <c r="Y14" s="186"/>
      <c r="Z14" s="192"/>
      <c r="AA14" s="97">
        <v>0</v>
      </c>
      <c r="AB14" s="193">
        <v>0</v>
      </c>
      <c r="AC14" s="123"/>
      <c r="AD14" s="4"/>
      <c r="AE14" s="4"/>
      <c r="AF14" s="4"/>
      <c r="AG14" s="4"/>
      <c r="AH14" s="4"/>
      <c r="AI14" s="4"/>
      <c r="AJ14" s="4"/>
      <c r="AK14" s="4"/>
      <c r="AL14" s="4"/>
      <c r="AM14" s="4"/>
      <c r="AN14" s="4"/>
      <c r="AO14" s="4"/>
      <c r="AP14" s="4"/>
      <c r="AQ14" s="4" t="str">
        <f>"      " &amp; TEXT(AB14,"#0.00%") &amp; " " &amp; "프로젝트 종료" &amp; " " &amp; IF(M14="","",TEXT(M14,"M/D-")) &amp; IF(N14="","",TEXT(N14,"M/D")) &amp; " "</f>
        <v xml:space="preserve">      0.00% 프로젝트 종료 10/23-10/23 </v>
      </c>
      <c r="AR14" s="4"/>
      <c r="AS14" s="4"/>
      <c r="AT14" s="4"/>
      <c r="AU14" s="4"/>
      <c r="AV14" s="4"/>
      <c r="AW14" s="4"/>
      <c r="AX14" s="4"/>
      <c r="AY14" s="4"/>
      <c r="AZ14" s="4"/>
      <c r="BA14" s="4"/>
      <c r="BB14" s="4"/>
      <c r="BC14" s="4"/>
      <c r="BD14" s="4"/>
      <c r="BE14" s="4"/>
      <c r="BF14" s="4"/>
      <c r="BG14" s="4"/>
      <c r="BH14" s="4"/>
      <c r="BI14" s="4"/>
      <c r="BJ14" s="4"/>
      <c r="BK14" s="4"/>
      <c r="BL14" s="4"/>
      <c r="BM14" s="4"/>
      <c r="BN14" s="4"/>
      <c r="BO14" s="4"/>
      <c r="BP14" s="4"/>
      <c r="BQ14" s="4"/>
      <c r="BR14" s="4"/>
      <c r="BS14" s="4"/>
      <c r="BT14" s="4"/>
      <c r="BU14" s="4"/>
      <c r="BV14" s="4"/>
      <c r="BW14" s="4"/>
      <c r="BX14" s="4"/>
      <c r="BY14" s="4"/>
      <c r="BZ14" s="4"/>
      <c r="CA14" s="4"/>
      <c r="CB14" s="4"/>
      <c r="CC14" s="4"/>
      <c r="CD14" s="4"/>
      <c r="CE14" s="4"/>
      <c r="CF14" s="4"/>
      <c r="CG14" s="4"/>
      <c r="CH14" s="4"/>
      <c r="CI14" s="4"/>
      <c r="CJ14" s="4"/>
      <c r="CK14" s="4"/>
      <c r="CL14" s="4"/>
      <c r="CM14" s="4"/>
      <c r="CN14" s="4"/>
      <c r="CO14" s="4"/>
      <c r="CP14" s="4"/>
      <c r="CQ14" s="4"/>
      <c r="CR14" s="4"/>
      <c r="CS14" s="4"/>
      <c r="CT14" s="4"/>
      <c r="CU14" s="4"/>
      <c r="CV14" s="4"/>
      <c r="CW14" s="4"/>
      <c r="CX14" s="4"/>
      <c r="CY14" s="4"/>
      <c r="CZ14" s="4"/>
      <c r="DA14" s="4"/>
      <c r="DB14" s="4"/>
      <c r="DC14" s="4"/>
      <c r="DD14" s="4"/>
      <c r="DE14" s="4"/>
      <c r="DF14" s="4"/>
      <c r="DG14" s="4"/>
      <c r="DH14" s="4"/>
      <c r="DI14" s="4"/>
      <c r="DJ14" s="4"/>
      <c r="DK14" s="4"/>
      <c r="DL14" s="4"/>
      <c r="DM14" s="4"/>
      <c r="DN14" s="4"/>
      <c r="DO14" s="4"/>
      <c r="DP14" s="4"/>
      <c r="DQ14" s="4"/>
      <c r="DR14" s="4"/>
      <c r="DS14" s="4"/>
      <c r="DT14" s="4"/>
      <c r="DU14" s="4"/>
      <c r="DV14" s="4"/>
      <c r="DW14" s="4"/>
      <c r="DX14" s="4"/>
      <c r="DY14" s="4"/>
      <c r="DZ14" s="4"/>
      <c r="EA14" s="4"/>
      <c r="EB14" s="4"/>
      <c r="EC14" s="4"/>
      <c r="ED14" s="4"/>
      <c r="EE14" s="4"/>
      <c r="EF14" s="4"/>
      <c r="EG14" s="4"/>
      <c r="EH14" s="4"/>
      <c r="EI14" s="4"/>
      <c r="EJ14" s="4"/>
    </row>
    <row r="15" spans="1:140" outlineLevel="2">
      <c r="A15" s="116"/>
      <c r="B15" s="116"/>
      <c r="C15" s="116">
        <v>3</v>
      </c>
      <c r="D15" s="3" t="s">
        <v>435</v>
      </c>
      <c r="E15" s="184"/>
      <c r="F15" s="184"/>
      <c r="G15" s="218" t="s">
        <v>1171</v>
      </c>
      <c r="H15" s="184"/>
      <c r="I15" s="184"/>
      <c r="J15" s="184"/>
      <c r="K15" s="184"/>
      <c r="L15" s="184"/>
      <c r="M15" s="185">
        <v>44492</v>
      </c>
      <c r="N15" s="185">
        <v>44492</v>
      </c>
      <c r="O15" s="186"/>
      <c r="P15" s="187">
        <v>1</v>
      </c>
      <c r="Q15" s="187">
        <v>0</v>
      </c>
      <c r="R15" s="188">
        <v>1</v>
      </c>
      <c r="S15" s="188">
        <v>0</v>
      </c>
      <c r="T15" s="185"/>
      <c r="U15" s="185"/>
      <c r="V15" s="189"/>
      <c r="W15" s="190">
        <v>0</v>
      </c>
      <c r="X15" s="191">
        <v>1</v>
      </c>
      <c r="Y15" s="186"/>
      <c r="Z15" s="192"/>
      <c r="AA15" s="97">
        <v>0</v>
      </c>
      <c r="AB15" s="193">
        <v>0</v>
      </c>
      <c r="AC15" s="123"/>
      <c r="AD15" s="4"/>
      <c r="AE15" s="4"/>
      <c r="AF15" s="4"/>
      <c r="AG15" s="4"/>
      <c r="AH15" s="4"/>
      <c r="AI15" s="4"/>
      <c r="AJ15" s="4"/>
      <c r="AK15" s="4"/>
      <c r="AL15" s="4"/>
      <c r="AM15" s="4"/>
      <c r="AN15" s="4"/>
      <c r="AO15" s="4"/>
      <c r="AP15" s="4"/>
      <c r="AQ15" s="4" t="str">
        <f>"      " &amp; TEXT(AB15,"#0.00%") &amp; " " &amp; "프로젝트 발표" &amp; " " &amp; IF(M15="","",TEXT(M15,"M/D-")) &amp; IF(N15="","",TEXT(N15,"M/D")) &amp; " "</f>
        <v xml:space="preserve">      0.00% 프로젝트 발표 10/23-10/23 </v>
      </c>
      <c r="AR15" s="4"/>
      <c r="AS15" s="4"/>
      <c r="AT15" s="4"/>
      <c r="AU15" s="4"/>
      <c r="AV15" s="4"/>
      <c r="AW15" s="4"/>
      <c r="AX15" s="4"/>
      <c r="AY15" s="4"/>
      <c r="AZ15" s="4"/>
      <c r="BA15" s="4"/>
      <c r="BB15" s="4"/>
      <c r="BC15" s="4"/>
      <c r="BD15" s="4"/>
      <c r="BE15" s="4"/>
      <c r="BF15" s="4"/>
      <c r="BG15" s="4"/>
      <c r="BH15" s="4"/>
      <c r="BI15" s="4"/>
      <c r="BJ15" s="4"/>
      <c r="BK15" s="4"/>
      <c r="BL15" s="4"/>
      <c r="BM15" s="4"/>
      <c r="BN15" s="4"/>
      <c r="BO15" s="4"/>
      <c r="BP15" s="4"/>
      <c r="BQ15" s="4"/>
      <c r="BR15" s="4"/>
      <c r="BS15" s="4"/>
      <c r="BT15" s="4"/>
      <c r="BU15" s="4"/>
      <c r="BV15" s="4"/>
      <c r="BW15" s="4"/>
      <c r="BX15" s="4"/>
      <c r="BY15" s="4"/>
      <c r="BZ15" s="4"/>
      <c r="CA15" s="4"/>
      <c r="CB15" s="4"/>
      <c r="CC15" s="4"/>
      <c r="CD15" s="4"/>
      <c r="CE15" s="4"/>
      <c r="CF15" s="4"/>
      <c r="CG15" s="4"/>
      <c r="CH15" s="4"/>
      <c r="CI15" s="4"/>
      <c r="CJ15" s="4"/>
      <c r="CK15" s="4"/>
      <c r="CL15" s="4"/>
      <c r="CM15" s="4"/>
      <c r="CN15" s="4"/>
      <c r="CO15" s="4"/>
      <c r="CP15" s="4"/>
      <c r="CQ15" s="4"/>
      <c r="CR15" s="4"/>
      <c r="CS15" s="4"/>
      <c r="CT15" s="4"/>
      <c r="CU15" s="4"/>
      <c r="CV15" s="4"/>
      <c r="CW15" s="4"/>
      <c r="CX15" s="4"/>
      <c r="CY15" s="4"/>
      <c r="CZ15" s="4"/>
      <c r="DA15" s="4"/>
      <c r="DB15" s="4"/>
      <c r="DC15" s="4"/>
      <c r="DD15" s="4"/>
      <c r="DE15" s="4"/>
      <c r="DF15" s="4"/>
      <c r="DG15" s="4"/>
      <c r="DH15" s="4"/>
      <c r="DI15" s="4"/>
      <c r="DJ15" s="4"/>
      <c r="DK15" s="4"/>
      <c r="DL15" s="4"/>
      <c r="DM15" s="4"/>
      <c r="DN15" s="4"/>
      <c r="DO15" s="4"/>
      <c r="DP15" s="4"/>
      <c r="DQ15" s="4"/>
      <c r="DR15" s="4"/>
      <c r="DS15" s="4"/>
      <c r="DT15" s="4"/>
      <c r="DU15" s="4"/>
      <c r="DV15" s="4"/>
      <c r="DW15" s="4"/>
      <c r="DX15" s="4"/>
      <c r="DY15" s="4"/>
      <c r="DZ15" s="4"/>
      <c r="EA15" s="4"/>
      <c r="EB15" s="4"/>
      <c r="EC15" s="4"/>
      <c r="ED15" s="4"/>
      <c r="EE15" s="4"/>
      <c r="EF15" s="4"/>
      <c r="EG15" s="4"/>
      <c r="EH15" s="4"/>
      <c r="EI15" s="4"/>
      <c r="EJ15" s="4"/>
    </row>
    <row r="16" spans="1:140">
      <c r="A16" s="116"/>
      <c r="B16" s="116" t="s">
        <v>1071</v>
      </c>
      <c r="C16" s="116">
        <v>1</v>
      </c>
      <c r="D16" s="3" t="s">
        <v>1077</v>
      </c>
      <c r="E16" s="184" t="s">
        <v>1003</v>
      </c>
      <c r="F16" s="184"/>
      <c r="G16" s="184"/>
      <c r="H16" s="184"/>
      <c r="I16" s="184"/>
      <c r="J16" s="184"/>
      <c r="K16" s="184"/>
      <c r="L16" s="184"/>
      <c r="M16" s="185">
        <v>44401</v>
      </c>
      <c r="N16" s="185">
        <v>44485</v>
      </c>
      <c r="O16" s="186"/>
      <c r="P16" s="187">
        <v>465</v>
      </c>
      <c r="Q16" s="187">
        <v>388</v>
      </c>
      <c r="R16" s="188">
        <v>85</v>
      </c>
      <c r="S16" s="188">
        <v>64</v>
      </c>
      <c r="T16" s="185"/>
      <c r="U16" s="185"/>
      <c r="V16" s="189">
        <v>0</v>
      </c>
      <c r="W16" s="190">
        <v>0</v>
      </c>
      <c r="X16" s="191"/>
      <c r="Y16" s="186"/>
      <c r="Z16" s="192"/>
      <c r="AA16" s="97">
        <v>0.83440860215053758</v>
      </c>
      <c r="AB16" s="193">
        <v>0.89655913978494617</v>
      </c>
      <c r="AC16" s="123"/>
      <c r="AD16" s="4"/>
      <c r="AE16" s="4"/>
      <c r="AF16" s="4"/>
      <c r="AG16" s="4"/>
      <c r="AH16" s="4"/>
      <c r="AI16" s="4"/>
      <c r="AJ16" s="4"/>
      <c r="AK16" s="4"/>
      <c r="AL16" s="4"/>
      <c r="AM16" s="4"/>
      <c r="AN16" s="4"/>
      <c r="AO16" s="4" t="str">
        <f>"     " &amp; TEXT(AB16,"#0.00%") &amp; " " &amp; "시스템 개발" &amp; " " &amp; IF(M16="","",TEXT(M16,"M/D-")) &amp; IF(N16="","",TEXT(N16,"M/D")) &amp; " "</f>
        <v xml:space="preserve">     89.66% 시스템 개발 7/24-10/16 </v>
      </c>
      <c r="AP16" s="4"/>
      <c r="AQ16" s="4"/>
      <c r="AR16" s="4"/>
      <c r="AS16" s="4"/>
      <c r="AT16" s="4"/>
      <c r="AU16" s="4"/>
      <c r="AV16" s="4"/>
      <c r="AW16" s="4"/>
      <c r="AX16" s="4"/>
      <c r="AY16" s="4"/>
      <c r="AZ16" s="4"/>
      <c r="BA16" s="4"/>
      <c r="BB16" s="4"/>
      <c r="BC16" s="4"/>
      <c r="BD16" s="4"/>
      <c r="BE16" s="4"/>
      <c r="BF16" s="4"/>
      <c r="BG16" s="4"/>
      <c r="BH16" s="4"/>
      <c r="BI16" s="4"/>
      <c r="BJ16" s="4"/>
      <c r="BK16" s="4"/>
      <c r="BL16" s="4"/>
      <c r="BM16" s="4"/>
      <c r="BN16" s="4"/>
      <c r="BO16" s="4"/>
      <c r="BP16" s="4"/>
      <c r="BQ16" s="4"/>
      <c r="BR16" s="4"/>
      <c r="BS16" s="4"/>
      <c r="BT16" s="4"/>
      <c r="BU16" s="4"/>
      <c r="BV16" s="4"/>
      <c r="BW16" s="4"/>
      <c r="BX16" s="4"/>
      <c r="BY16" s="4"/>
      <c r="BZ16" s="4"/>
      <c r="CA16" s="4"/>
      <c r="CB16" s="4"/>
      <c r="CC16" s="4"/>
      <c r="CD16" s="4"/>
      <c r="CE16" s="4"/>
      <c r="CF16" s="4"/>
      <c r="CG16" s="4"/>
      <c r="CH16" s="4"/>
      <c r="CI16" s="4"/>
      <c r="CJ16" s="4"/>
      <c r="CK16" s="4"/>
      <c r="CL16" s="4"/>
      <c r="CM16" s="4"/>
      <c r="CN16" s="4"/>
      <c r="CO16" s="4"/>
      <c r="CP16" s="4"/>
      <c r="CQ16" s="4"/>
      <c r="CR16" s="4"/>
      <c r="CS16" s="4"/>
      <c r="CT16" s="4"/>
      <c r="CU16" s="4"/>
      <c r="CV16" s="4"/>
      <c r="CW16" s="4"/>
      <c r="CX16" s="4"/>
      <c r="CY16" s="4"/>
      <c r="CZ16" s="4"/>
      <c r="DA16" s="4"/>
      <c r="DB16" s="4"/>
      <c r="DC16" s="4"/>
      <c r="DD16" s="4"/>
      <c r="DE16" s="4"/>
      <c r="DF16" s="4"/>
      <c r="DG16" s="4"/>
      <c r="DH16" s="4"/>
      <c r="DI16" s="4"/>
      <c r="DJ16" s="4"/>
      <c r="DK16" s="4"/>
      <c r="DL16" s="4"/>
      <c r="DM16" s="4"/>
      <c r="DN16" s="4"/>
      <c r="DO16" s="4"/>
      <c r="DP16" s="4"/>
      <c r="DQ16" s="4"/>
      <c r="DR16" s="4"/>
      <c r="DS16" s="4"/>
      <c r="DT16" s="4"/>
      <c r="DU16" s="4"/>
      <c r="DV16" s="4"/>
      <c r="DW16" s="4"/>
      <c r="DX16" s="4"/>
      <c r="DY16" s="4"/>
      <c r="DZ16" s="4"/>
      <c r="EA16" s="4"/>
      <c r="EB16" s="4"/>
      <c r="EC16" s="4"/>
      <c r="ED16" s="4"/>
      <c r="EE16" s="4"/>
      <c r="EF16" s="4"/>
      <c r="EG16" s="4"/>
      <c r="EH16" s="4"/>
      <c r="EI16" s="4"/>
      <c r="EJ16" s="4"/>
    </row>
    <row r="17" spans="1:140" outlineLevel="1">
      <c r="A17" s="116"/>
      <c r="B17" s="116" t="s">
        <v>1071</v>
      </c>
      <c r="C17" s="116">
        <v>2</v>
      </c>
      <c r="D17" s="3" t="s">
        <v>1078</v>
      </c>
      <c r="E17" s="184"/>
      <c r="F17" s="184" t="s">
        <v>1004</v>
      </c>
      <c r="G17" s="184"/>
      <c r="H17" s="184"/>
      <c r="I17" s="184"/>
      <c r="J17" s="184"/>
      <c r="K17" s="184"/>
      <c r="L17" s="184"/>
      <c r="M17" s="185">
        <v>44401</v>
      </c>
      <c r="N17" s="185">
        <v>44401</v>
      </c>
      <c r="O17" s="186"/>
      <c r="P17" s="187">
        <v>1</v>
      </c>
      <c r="Q17" s="187">
        <v>1</v>
      </c>
      <c r="R17" s="188">
        <v>1</v>
      </c>
      <c r="S17" s="188">
        <v>1</v>
      </c>
      <c r="T17" s="185"/>
      <c r="U17" s="185"/>
      <c r="V17" s="189">
        <v>0</v>
      </c>
      <c r="W17" s="190">
        <v>0</v>
      </c>
      <c r="X17" s="191"/>
      <c r="Y17" s="186"/>
      <c r="Z17" s="192"/>
      <c r="AA17" s="97">
        <v>1</v>
      </c>
      <c r="AB17" s="193">
        <v>1</v>
      </c>
      <c r="AC17" s="123"/>
      <c r="AD17" s="4"/>
      <c r="AE17" s="4" t="str">
        <f>"" &amp; TEXT(AB17,"#0.00%") &amp; " " &amp; "분석" &amp; " " &amp; IF(M17="","",TEXT(M17,"M/D-")) &amp; IF(N17="","",TEXT(N17,"M/D")) &amp; " "</f>
        <v xml:space="preserve">100.00% 분석 7/24-7/24 </v>
      </c>
      <c r="AF17" s="4"/>
      <c r="AG17" s="4"/>
      <c r="AH17" s="4"/>
      <c r="AI17" s="4"/>
      <c r="AJ17" s="4"/>
      <c r="AK17" s="4"/>
      <c r="AL17" s="4"/>
      <c r="AM17" s="4"/>
      <c r="AN17" s="4"/>
      <c r="AO17" s="4"/>
      <c r="AP17" s="4"/>
      <c r="AQ17" s="4"/>
      <c r="AR17" s="4"/>
      <c r="AS17" s="4"/>
      <c r="AT17" s="4"/>
      <c r="AU17" s="4"/>
      <c r="AV17" s="4"/>
      <c r="AW17" s="4"/>
      <c r="AX17" s="4"/>
      <c r="AY17" s="4"/>
      <c r="AZ17" s="4"/>
      <c r="BA17" s="4"/>
      <c r="BB17" s="4"/>
      <c r="BC17" s="4"/>
      <c r="BD17" s="4"/>
      <c r="BE17" s="4"/>
      <c r="BF17" s="4"/>
      <c r="BG17" s="4"/>
      <c r="BH17" s="4"/>
      <c r="BI17" s="4"/>
      <c r="BJ17" s="4"/>
      <c r="BK17" s="4"/>
      <c r="BL17" s="4"/>
      <c r="BM17" s="4"/>
      <c r="BN17" s="4"/>
      <c r="BO17" s="4"/>
      <c r="BP17" s="4"/>
      <c r="BQ17" s="4"/>
      <c r="BR17" s="4"/>
      <c r="BS17" s="4"/>
      <c r="BT17" s="4"/>
      <c r="BU17" s="4"/>
      <c r="BV17" s="4"/>
      <c r="BW17" s="4"/>
      <c r="BX17" s="4"/>
      <c r="BY17" s="4"/>
      <c r="BZ17" s="4"/>
      <c r="CA17" s="4"/>
      <c r="CB17" s="4"/>
      <c r="CC17" s="4"/>
      <c r="CD17" s="4"/>
      <c r="CE17" s="4"/>
      <c r="CF17" s="4"/>
      <c r="CG17" s="4"/>
      <c r="CH17" s="4"/>
      <c r="CI17" s="4"/>
      <c r="CJ17" s="4"/>
      <c r="CK17" s="4"/>
      <c r="CL17" s="4"/>
      <c r="CM17" s="4"/>
      <c r="CN17" s="4"/>
      <c r="CO17" s="4"/>
      <c r="CP17" s="4"/>
      <c r="CQ17" s="4"/>
      <c r="CR17" s="4"/>
      <c r="CS17" s="4"/>
      <c r="CT17" s="4"/>
      <c r="CU17" s="4"/>
      <c r="CV17" s="4"/>
      <c r="CW17" s="4"/>
      <c r="CX17" s="4"/>
      <c r="CY17" s="4"/>
      <c r="CZ17" s="4"/>
      <c r="DA17" s="4"/>
      <c r="DB17" s="4"/>
      <c r="DC17" s="4"/>
      <c r="DD17" s="4"/>
      <c r="DE17" s="4"/>
      <c r="DF17" s="4"/>
      <c r="DG17" s="4"/>
      <c r="DH17" s="4"/>
      <c r="DI17" s="4"/>
      <c r="DJ17" s="4"/>
      <c r="DK17" s="4"/>
      <c r="DL17" s="4"/>
      <c r="DM17" s="4"/>
      <c r="DN17" s="4"/>
      <c r="DO17" s="4"/>
      <c r="DP17" s="4"/>
      <c r="DQ17" s="4"/>
      <c r="DR17" s="4"/>
      <c r="DS17" s="4"/>
      <c r="DT17" s="4"/>
      <c r="DU17" s="4"/>
      <c r="DV17" s="4"/>
      <c r="DW17" s="4"/>
      <c r="DX17" s="4"/>
      <c r="DY17" s="4"/>
      <c r="DZ17" s="4"/>
      <c r="EA17" s="4"/>
      <c r="EB17" s="4"/>
      <c r="EC17" s="4"/>
      <c r="ED17" s="4"/>
      <c r="EE17" s="4"/>
      <c r="EF17" s="4"/>
      <c r="EG17" s="4"/>
      <c r="EH17" s="4"/>
      <c r="EI17" s="4"/>
      <c r="EJ17" s="4"/>
    </row>
    <row r="18" spans="1:140" outlineLevel="2">
      <c r="A18" s="116"/>
      <c r="B18" s="116"/>
      <c r="C18" s="116">
        <v>3</v>
      </c>
      <c r="D18" s="3" t="s">
        <v>996</v>
      </c>
      <c r="E18" s="184"/>
      <c r="F18" s="184"/>
      <c r="G18" s="184" t="s">
        <v>446</v>
      </c>
      <c r="H18" s="184"/>
      <c r="I18" s="184"/>
      <c r="J18" s="184"/>
      <c r="K18" s="184"/>
      <c r="L18" s="184"/>
      <c r="M18" s="185">
        <v>44401</v>
      </c>
      <c r="N18" s="185">
        <v>44401</v>
      </c>
      <c r="O18" s="186"/>
      <c r="P18" s="187">
        <v>1</v>
      </c>
      <c r="Q18" s="187">
        <v>1</v>
      </c>
      <c r="R18" s="188">
        <v>1</v>
      </c>
      <c r="S18" s="188">
        <v>1</v>
      </c>
      <c r="T18" s="185">
        <v>43309</v>
      </c>
      <c r="U18" s="185">
        <v>43327</v>
      </c>
      <c r="V18" s="189">
        <v>18</v>
      </c>
      <c r="W18" s="190">
        <v>18</v>
      </c>
      <c r="X18" s="191">
        <v>1</v>
      </c>
      <c r="Y18" s="186"/>
      <c r="Z18" s="220" t="s">
        <v>1189</v>
      </c>
      <c r="AA18" s="97">
        <v>1</v>
      </c>
      <c r="AB18" s="193">
        <v>1</v>
      </c>
      <c r="AC18" s="123"/>
      <c r="AD18" s="4"/>
      <c r="AE18" s="4" t="str">
        <f>"" &amp; TEXT(AB18,"#0.00%") &amp; " " &amp; "요구사항정의" &amp; " " &amp; IF(M18="","",TEXT(M18,"M/D-")) &amp; IF(N18="","",TEXT(N18,"M/D")) &amp; " "</f>
        <v xml:space="preserve">100.00% 요구사항정의 7/24-7/24 </v>
      </c>
      <c r="AF18" s="4"/>
      <c r="AG18" s="4"/>
      <c r="AH18" s="4"/>
      <c r="AI18" s="4"/>
      <c r="AJ18" s="4"/>
      <c r="AK18" s="4"/>
      <c r="AL18" s="4"/>
      <c r="AM18" s="4"/>
      <c r="AN18" s="4"/>
      <c r="AO18" s="4"/>
      <c r="AP18" s="4"/>
      <c r="AQ18" s="4"/>
      <c r="AR18" s="4"/>
      <c r="AS18" s="4"/>
      <c r="AT18" s="4"/>
      <c r="AU18" s="4"/>
      <c r="AV18" s="4"/>
      <c r="AW18" s="4"/>
      <c r="AX18" s="4"/>
      <c r="AY18" s="4"/>
      <c r="AZ18" s="4"/>
      <c r="BA18" s="4"/>
      <c r="BB18" s="4"/>
      <c r="BC18" s="4"/>
      <c r="BD18" s="4"/>
      <c r="BE18" s="4"/>
      <c r="BF18" s="4"/>
      <c r="BG18" s="4"/>
      <c r="BH18" s="4"/>
      <c r="BI18" s="4"/>
      <c r="BJ18" s="4"/>
      <c r="BK18" s="4"/>
      <c r="BL18" s="4"/>
      <c r="BM18" s="4"/>
      <c r="BN18" s="4"/>
      <c r="BO18" s="4"/>
      <c r="BP18" s="4"/>
      <c r="BQ18" s="4"/>
      <c r="BR18" s="4"/>
      <c r="BS18" s="4"/>
      <c r="BT18" s="4"/>
      <c r="BU18" s="4"/>
      <c r="BV18" s="4"/>
      <c r="BW18" s="4"/>
      <c r="BX18" s="4"/>
      <c r="BY18" s="4"/>
      <c r="BZ18" s="4"/>
      <c r="CA18" s="4"/>
      <c r="CB18" s="4"/>
      <c r="CC18" s="4"/>
      <c r="CD18" s="4"/>
      <c r="CE18" s="4"/>
      <c r="CF18" s="4"/>
      <c r="CG18" s="4"/>
      <c r="CH18" s="4"/>
      <c r="CI18" s="4"/>
      <c r="CJ18" s="4"/>
      <c r="CK18" s="4"/>
      <c r="CL18" s="4"/>
      <c r="CM18" s="4"/>
      <c r="CN18" s="4"/>
      <c r="CO18" s="4"/>
      <c r="CP18" s="4"/>
      <c r="CQ18" s="4"/>
      <c r="CR18" s="4"/>
      <c r="CS18" s="4"/>
      <c r="CT18" s="4"/>
      <c r="CU18" s="4"/>
      <c r="CV18" s="4"/>
      <c r="CW18" s="4"/>
      <c r="CX18" s="4"/>
      <c r="CY18" s="4"/>
      <c r="CZ18" s="4"/>
      <c r="DA18" s="4"/>
      <c r="DB18" s="4"/>
      <c r="DC18" s="4"/>
      <c r="DD18" s="4"/>
      <c r="DE18" s="4"/>
      <c r="DF18" s="4"/>
      <c r="DG18" s="4"/>
      <c r="DH18" s="4"/>
      <c r="DI18" s="4"/>
      <c r="DJ18" s="4"/>
      <c r="DK18" s="4"/>
      <c r="DL18" s="4"/>
      <c r="DM18" s="4"/>
      <c r="DN18" s="4"/>
      <c r="DO18" s="4"/>
      <c r="DP18" s="4"/>
      <c r="DQ18" s="4"/>
      <c r="DR18" s="4"/>
      <c r="DS18" s="4"/>
      <c r="DT18" s="4"/>
      <c r="DU18" s="4"/>
      <c r="DV18" s="4"/>
      <c r="DW18" s="4"/>
      <c r="DX18" s="4"/>
      <c r="DY18" s="4"/>
      <c r="DZ18" s="4"/>
      <c r="EA18" s="4"/>
      <c r="EB18" s="4"/>
      <c r="EC18" s="4"/>
      <c r="ED18" s="4"/>
      <c r="EE18" s="4"/>
      <c r="EF18" s="4"/>
      <c r="EG18" s="4"/>
      <c r="EH18" s="4"/>
      <c r="EI18" s="4"/>
      <c r="EJ18" s="4"/>
    </row>
    <row r="19" spans="1:140" outlineLevel="1">
      <c r="A19" s="116"/>
      <c r="B19" s="116" t="s">
        <v>1071</v>
      </c>
      <c r="C19" s="116">
        <v>2</v>
      </c>
      <c r="D19" s="3" t="s">
        <v>1079</v>
      </c>
      <c r="E19" s="184"/>
      <c r="F19" s="184" t="s">
        <v>1005</v>
      </c>
      <c r="G19" s="184"/>
      <c r="H19" s="184"/>
      <c r="I19" s="184"/>
      <c r="J19" s="184"/>
      <c r="K19" s="184"/>
      <c r="L19" s="184"/>
      <c r="M19" s="185">
        <v>44401</v>
      </c>
      <c r="N19" s="185">
        <v>44421</v>
      </c>
      <c r="O19" s="186"/>
      <c r="P19" s="187">
        <v>105</v>
      </c>
      <c r="Q19" s="187">
        <v>105</v>
      </c>
      <c r="R19" s="188">
        <v>21</v>
      </c>
      <c r="S19" s="188">
        <v>21</v>
      </c>
      <c r="T19" s="185"/>
      <c r="U19" s="185"/>
      <c r="V19" s="189">
        <v>0</v>
      </c>
      <c r="W19" s="190">
        <v>0</v>
      </c>
      <c r="X19" s="191"/>
      <c r="Y19" s="186"/>
      <c r="Z19" s="192"/>
      <c r="AA19" s="97">
        <v>1</v>
      </c>
      <c r="AB19" s="193">
        <v>0.9</v>
      </c>
      <c r="AC19" s="123"/>
      <c r="AD19" s="4"/>
      <c r="AE19" s="4"/>
      <c r="AF19" s="4"/>
      <c r="AG19" s="4" t="str">
        <f>"    " &amp; TEXT(AB19,"#0.00%") &amp; " " &amp; "설계" &amp; " " &amp; IF(M19="","",TEXT(M19,"M/D-")) &amp; IF(N19="","",TEXT(N19,"M/D")) &amp; " "</f>
        <v xml:space="preserve">    90.00% 설계 7/24-8/13 </v>
      </c>
      <c r="AH19" s="4"/>
      <c r="AI19" s="4"/>
      <c r="AJ19" s="4"/>
      <c r="AK19" s="4"/>
      <c r="AL19" s="4"/>
      <c r="AM19" s="4"/>
      <c r="AN19" s="4"/>
      <c r="AO19" s="4"/>
      <c r="AP19" s="4"/>
      <c r="AQ19" s="4"/>
      <c r="AR19" s="4"/>
      <c r="AS19" s="4"/>
      <c r="AT19" s="4"/>
      <c r="AU19" s="4"/>
      <c r="AV19" s="4"/>
      <c r="AW19" s="4"/>
      <c r="AX19" s="4"/>
      <c r="AY19" s="4"/>
      <c r="AZ19" s="4"/>
      <c r="BA19" s="4"/>
      <c r="BB19" s="4"/>
      <c r="BC19" s="4"/>
      <c r="BD19" s="4"/>
      <c r="BE19" s="4"/>
      <c r="BF19" s="4"/>
      <c r="BG19" s="4"/>
      <c r="BH19" s="4"/>
      <c r="BI19" s="4"/>
      <c r="BJ19" s="4"/>
      <c r="BK19" s="4"/>
      <c r="BL19" s="4"/>
      <c r="BM19" s="4"/>
      <c r="BN19" s="4"/>
      <c r="BO19" s="4"/>
      <c r="BP19" s="4"/>
      <c r="BQ19" s="4"/>
      <c r="BR19" s="4"/>
      <c r="BS19" s="4"/>
      <c r="BT19" s="4"/>
      <c r="BU19" s="4"/>
      <c r="BV19" s="4"/>
      <c r="BW19" s="4"/>
      <c r="BX19" s="4"/>
      <c r="BY19" s="4"/>
      <c r="BZ19" s="4"/>
      <c r="CA19" s="4"/>
      <c r="CB19" s="4"/>
      <c r="CC19" s="4"/>
      <c r="CD19" s="4"/>
      <c r="CE19" s="4"/>
      <c r="CF19" s="4"/>
      <c r="CG19" s="4"/>
      <c r="CH19" s="4"/>
      <c r="CI19" s="4"/>
      <c r="CJ19" s="4"/>
      <c r="CK19" s="4"/>
      <c r="CL19" s="4"/>
      <c r="CM19" s="4"/>
      <c r="CN19" s="4"/>
      <c r="CO19" s="4"/>
      <c r="CP19" s="4"/>
      <c r="CQ19" s="4"/>
      <c r="CR19" s="4"/>
      <c r="CS19" s="4"/>
      <c r="CT19" s="4"/>
      <c r="CU19" s="4"/>
      <c r="CV19" s="4"/>
      <c r="CW19" s="4"/>
      <c r="CX19" s="4"/>
      <c r="CY19" s="4"/>
      <c r="CZ19" s="4"/>
      <c r="DA19" s="4"/>
      <c r="DB19" s="4"/>
      <c r="DC19" s="4"/>
      <c r="DD19" s="4"/>
      <c r="DE19" s="4"/>
      <c r="DF19" s="4"/>
      <c r="DG19" s="4"/>
      <c r="DH19" s="4"/>
      <c r="DI19" s="4"/>
      <c r="DJ19" s="4"/>
      <c r="DK19" s="4"/>
      <c r="DL19" s="4"/>
      <c r="DM19" s="4"/>
      <c r="DN19" s="4"/>
      <c r="DO19" s="4"/>
      <c r="DP19" s="4"/>
      <c r="DQ19" s="4"/>
      <c r="DR19" s="4"/>
      <c r="DS19" s="4"/>
      <c r="DT19" s="4"/>
      <c r="DU19" s="4"/>
      <c r="DV19" s="4"/>
      <c r="DW19" s="4"/>
      <c r="DX19" s="4"/>
      <c r="DY19" s="4"/>
      <c r="DZ19" s="4"/>
      <c r="EA19" s="4"/>
      <c r="EB19" s="4"/>
      <c r="EC19" s="4"/>
      <c r="ED19" s="4"/>
      <c r="EE19" s="4"/>
      <c r="EF19" s="4"/>
      <c r="EG19" s="4"/>
      <c r="EH19" s="4"/>
      <c r="EI19" s="4"/>
      <c r="EJ19" s="4"/>
    </row>
    <row r="20" spans="1:140" outlineLevel="2">
      <c r="A20" s="116"/>
      <c r="B20" s="116"/>
      <c r="C20" s="116">
        <v>3</v>
      </c>
      <c r="D20" s="3" t="s">
        <v>999</v>
      </c>
      <c r="E20" s="184"/>
      <c r="F20" s="184"/>
      <c r="G20" s="184" t="s">
        <v>1006</v>
      </c>
      <c r="H20" s="184"/>
      <c r="I20" s="184"/>
      <c r="J20" s="184"/>
      <c r="K20" s="184"/>
      <c r="L20" s="184"/>
      <c r="M20" s="185">
        <v>44401</v>
      </c>
      <c r="N20" s="185">
        <v>44421</v>
      </c>
      <c r="O20" s="186"/>
      <c r="P20" s="187">
        <v>21</v>
      </c>
      <c r="Q20" s="187">
        <v>21</v>
      </c>
      <c r="R20" s="188">
        <v>21</v>
      </c>
      <c r="S20" s="188">
        <v>21</v>
      </c>
      <c r="T20" s="185">
        <v>43329</v>
      </c>
      <c r="U20" s="185"/>
      <c r="V20" s="189">
        <v>-43328</v>
      </c>
      <c r="W20" s="190">
        <v>0</v>
      </c>
      <c r="X20" s="191">
        <v>1</v>
      </c>
      <c r="Y20" s="186"/>
      <c r="Z20" s="192"/>
      <c r="AA20" s="97">
        <v>1</v>
      </c>
      <c r="AB20" s="193">
        <v>1</v>
      </c>
      <c r="AC20" s="123"/>
      <c r="AD20" s="4"/>
      <c r="AE20" s="4"/>
      <c r="AF20" s="4"/>
      <c r="AG20" s="4" t="str">
        <f>"      " &amp; TEXT(AB20,"#0.00%") &amp; " " &amp; "UI 설계" &amp; " " &amp; IF(M20="","",TEXT(M20,"M/D-")) &amp; IF(N20="","",TEXT(N20,"M/D")) &amp; " "</f>
        <v xml:space="preserve">      100.00% UI 설계 7/24-8/13 </v>
      </c>
      <c r="AH20" s="4"/>
      <c r="AI20" s="4"/>
      <c r="AJ20" s="4"/>
      <c r="AK20" s="4"/>
      <c r="AL20" s="4"/>
      <c r="AM20" s="4"/>
      <c r="AN20" s="4"/>
      <c r="AO20" s="4"/>
      <c r="AP20" s="4"/>
      <c r="AQ20" s="4"/>
      <c r="AR20" s="4"/>
      <c r="AS20" s="4"/>
      <c r="AT20" s="4"/>
      <c r="AU20" s="4"/>
      <c r="AV20" s="4"/>
      <c r="AW20" s="4"/>
      <c r="AX20" s="4"/>
      <c r="AY20" s="4"/>
      <c r="AZ20" s="4"/>
      <c r="BA20" s="4"/>
      <c r="BB20" s="4"/>
      <c r="BC20" s="4"/>
      <c r="BD20" s="4"/>
      <c r="BE20" s="4"/>
      <c r="BF20" s="4"/>
      <c r="BG20" s="4"/>
      <c r="BH20" s="4"/>
      <c r="BI20" s="4"/>
      <c r="BJ20" s="4"/>
      <c r="BK20" s="4"/>
      <c r="BL20" s="4"/>
      <c r="BM20" s="4"/>
      <c r="BN20" s="4"/>
      <c r="BO20" s="4"/>
      <c r="BP20" s="4"/>
      <c r="BQ20" s="4"/>
      <c r="BR20" s="4"/>
      <c r="BS20" s="4"/>
      <c r="BT20" s="4"/>
      <c r="BU20" s="4"/>
      <c r="BV20" s="4"/>
      <c r="BW20" s="4"/>
      <c r="BX20" s="4"/>
      <c r="BY20" s="4"/>
      <c r="BZ20" s="4"/>
      <c r="CA20" s="4"/>
      <c r="CB20" s="4"/>
      <c r="CC20" s="4"/>
      <c r="CD20" s="4"/>
      <c r="CE20" s="4"/>
      <c r="CF20" s="4"/>
      <c r="CG20" s="4"/>
      <c r="CH20" s="4"/>
      <c r="CI20" s="4"/>
      <c r="CJ20" s="4"/>
      <c r="CK20" s="4"/>
      <c r="CL20" s="4"/>
      <c r="CM20" s="4"/>
      <c r="CN20" s="4"/>
      <c r="CO20" s="4"/>
      <c r="CP20" s="4"/>
      <c r="CQ20" s="4"/>
      <c r="CR20" s="4"/>
      <c r="CS20" s="4"/>
      <c r="CT20" s="4"/>
      <c r="CU20" s="4"/>
      <c r="CV20" s="4"/>
      <c r="CW20" s="4"/>
      <c r="CX20" s="4"/>
      <c r="CY20" s="4"/>
      <c r="CZ20" s="4"/>
      <c r="DA20" s="4"/>
      <c r="DB20" s="4"/>
      <c r="DC20" s="4"/>
      <c r="DD20" s="4"/>
      <c r="DE20" s="4"/>
      <c r="DF20" s="4"/>
      <c r="DG20" s="4"/>
      <c r="DH20" s="4"/>
      <c r="DI20" s="4"/>
      <c r="DJ20" s="4"/>
      <c r="DK20" s="4"/>
      <c r="DL20" s="4"/>
      <c r="DM20" s="4"/>
      <c r="DN20" s="4"/>
      <c r="DO20" s="4"/>
      <c r="DP20" s="4"/>
      <c r="DQ20" s="4"/>
      <c r="DR20" s="4"/>
      <c r="DS20" s="4"/>
      <c r="DT20" s="4"/>
      <c r="DU20" s="4"/>
      <c r="DV20" s="4"/>
      <c r="DW20" s="4"/>
      <c r="DX20" s="4"/>
      <c r="DY20" s="4"/>
      <c r="DZ20" s="4"/>
      <c r="EA20" s="4"/>
      <c r="EB20" s="4"/>
      <c r="EC20" s="4"/>
      <c r="ED20" s="4"/>
      <c r="EE20" s="4"/>
      <c r="EF20" s="4"/>
      <c r="EG20" s="4"/>
      <c r="EH20" s="4"/>
      <c r="EI20" s="4"/>
      <c r="EJ20" s="4"/>
    </row>
    <row r="21" spans="1:140" outlineLevel="2">
      <c r="A21" s="116"/>
      <c r="B21" s="116"/>
      <c r="C21" s="116">
        <v>3</v>
      </c>
      <c r="D21" s="3" t="s">
        <v>1080</v>
      </c>
      <c r="E21" s="184"/>
      <c r="F21" s="184"/>
      <c r="G21" s="216" t="s">
        <v>1172</v>
      </c>
      <c r="H21" s="219"/>
      <c r="I21" s="184"/>
      <c r="J21" s="184"/>
      <c r="K21" s="184"/>
      <c r="L21" s="184"/>
      <c r="M21" s="185">
        <v>44401</v>
      </c>
      <c r="N21" s="185">
        <v>44421</v>
      </c>
      <c r="O21" s="186"/>
      <c r="P21" s="187">
        <v>21</v>
      </c>
      <c r="Q21" s="187">
        <v>21</v>
      </c>
      <c r="R21" s="188">
        <v>21</v>
      </c>
      <c r="S21" s="188">
        <v>21</v>
      </c>
      <c r="T21" s="185"/>
      <c r="U21" s="185"/>
      <c r="V21" s="189"/>
      <c r="W21" s="190">
        <v>0</v>
      </c>
      <c r="X21" s="191">
        <v>1</v>
      </c>
      <c r="Y21" s="186"/>
      <c r="Z21" s="192"/>
      <c r="AA21" s="97">
        <v>1</v>
      </c>
      <c r="AB21" s="193">
        <v>1</v>
      </c>
      <c r="AC21" s="123"/>
      <c r="AD21" s="4"/>
      <c r="AE21" s="4"/>
      <c r="AF21" s="4"/>
      <c r="AG21" s="4" t="str">
        <f>"      " &amp; TEXT(AB21,"#0.00%") &amp; " " &amp; "데이터베이스 설계" &amp; " " &amp; IF(M21="","",TEXT(M21,"M/D-")) &amp; IF(N21="","",TEXT(N21,"M/D")) &amp; " "</f>
        <v xml:space="preserve">      100.00% 데이터베이스 설계 7/24-8/13 </v>
      </c>
      <c r="AH21" s="4"/>
      <c r="AI21" s="4"/>
      <c r="AJ21" s="4"/>
      <c r="AK21" s="4"/>
      <c r="AL21" s="4"/>
      <c r="AM21" s="4"/>
      <c r="AN21" s="4"/>
      <c r="AO21" s="4"/>
      <c r="AP21" s="4"/>
      <c r="AQ21" s="4"/>
      <c r="AR21" s="4"/>
      <c r="AS21" s="4"/>
      <c r="AT21" s="4"/>
      <c r="AU21" s="4"/>
      <c r="AV21" s="4"/>
      <c r="AW21" s="4"/>
      <c r="AX21" s="4"/>
      <c r="AY21" s="4"/>
      <c r="AZ21" s="4"/>
      <c r="BA21" s="4"/>
      <c r="BB21" s="4"/>
      <c r="BC21" s="4"/>
      <c r="BD21" s="4"/>
      <c r="BE21" s="4"/>
      <c r="BF21" s="4"/>
      <c r="BG21" s="4"/>
      <c r="BH21" s="4"/>
      <c r="BI21" s="4"/>
      <c r="BJ21" s="4"/>
      <c r="BK21" s="4"/>
      <c r="BL21" s="4"/>
      <c r="BM21" s="4"/>
      <c r="BN21" s="4"/>
      <c r="BO21" s="4"/>
      <c r="BP21" s="4"/>
      <c r="BQ21" s="4"/>
      <c r="BR21" s="4"/>
      <c r="BS21" s="4"/>
      <c r="BT21" s="4"/>
      <c r="BU21" s="4"/>
      <c r="BV21" s="4"/>
      <c r="BW21" s="4"/>
      <c r="BX21" s="4"/>
      <c r="BY21" s="4"/>
      <c r="BZ21" s="4"/>
      <c r="CA21" s="4"/>
      <c r="CB21" s="4"/>
      <c r="CC21" s="4"/>
      <c r="CD21" s="4"/>
      <c r="CE21" s="4"/>
      <c r="CF21" s="4"/>
      <c r="CG21" s="4"/>
      <c r="CH21" s="4"/>
      <c r="CI21" s="4"/>
      <c r="CJ21" s="4"/>
      <c r="CK21" s="4"/>
      <c r="CL21" s="4"/>
      <c r="CM21" s="4"/>
      <c r="CN21" s="4"/>
      <c r="CO21" s="4"/>
      <c r="CP21" s="4"/>
      <c r="CQ21" s="4"/>
      <c r="CR21" s="4"/>
      <c r="CS21" s="4"/>
      <c r="CT21" s="4"/>
      <c r="CU21" s="4"/>
      <c r="CV21" s="4"/>
      <c r="CW21" s="4"/>
      <c r="CX21" s="4"/>
      <c r="CY21" s="4"/>
      <c r="CZ21" s="4"/>
      <c r="DA21" s="4"/>
      <c r="DB21" s="4"/>
      <c r="DC21" s="4"/>
      <c r="DD21" s="4"/>
      <c r="DE21" s="4"/>
      <c r="DF21" s="4"/>
      <c r="DG21" s="4"/>
      <c r="DH21" s="4"/>
      <c r="DI21" s="4"/>
      <c r="DJ21" s="4"/>
      <c r="DK21" s="4"/>
      <c r="DL21" s="4"/>
      <c r="DM21" s="4"/>
      <c r="DN21" s="4"/>
      <c r="DO21" s="4"/>
      <c r="DP21" s="4"/>
      <c r="DQ21" s="4"/>
      <c r="DR21" s="4"/>
      <c r="DS21" s="4"/>
      <c r="DT21" s="4"/>
      <c r="DU21" s="4"/>
      <c r="DV21" s="4"/>
      <c r="DW21" s="4"/>
      <c r="DX21" s="4"/>
      <c r="DY21" s="4"/>
      <c r="DZ21" s="4"/>
      <c r="EA21" s="4"/>
      <c r="EB21" s="4"/>
      <c r="EC21" s="4"/>
      <c r="ED21" s="4"/>
      <c r="EE21" s="4"/>
      <c r="EF21" s="4"/>
      <c r="EG21" s="4"/>
      <c r="EH21" s="4"/>
      <c r="EI21" s="4"/>
      <c r="EJ21" s="4"/>
    </row>
    <row r="22" spans="1:140" outlineLevel="2">
      <c r="A22" s="116"/>
      <c r="B22" s="116"/>
      <c r="C22" s="116">
        <v>3</v>
      </c>
      <c r="D22" s="3" t="s">
        <v>1000</v>
      </c>
      <c r="E22" s="184"/>
      <c r="F22" s="184"/>
      <c r="G22" s="216" t="s">
        <v>1173</v>
      </c>
      <c r="H22" s="219"/>
      <c r="I22" s="184"/>
      <c r="J22" s="184"/>
      <c r="K22" s="184"/>
      <c r="L22" s="184"/>
      <c r="M22" s="185">
        <v>44401</v>
      </c>
      <c r="N22" s="185">
        <v>44421</v>
      </c>
      <c r="O22" s="186"/>
      <c r="P22" s="187">
        <v>21</v>
      </c>
      <c r="Q22" s="187">
        <v>21</v>
      </c>
      <c r="R22" s="188">
        <v>21</v>
      </c>
      <c r="S22" s="188">
        <v>21</v>
      </c>
      <c r="T22" s="185"/>
      <c r="U22" s="185"/>
      <c r="V22" s="189"/>
      <c r="W22" s="190">
        <v>0</v>
      </c>
      <c r="X22" s="191">
        <v>1</v>
      </c>
      <c r="Y22" s="186"/>
      <c r="Z22" s="192"/>
      <c r="AA22" s="97">
        <v>1</v>
      </c>
      <c r="AB22" s="193">
        <v>1</v>
      </c>
      <c r="AC22" s="123"/>
      <c r="AD22" s="4"/>
      <c r="AE22" s="4"/>
      <c r="AF22" s="4"/>
      <c r="AG22" s="4" t="str">
        <f>"      " &amp; TEXT(AB22,"#0.00%") &amp; " " &amp; "서버 프로그램 구조 설계" &amp; " " &amp; IF(M22="","",TEXT(M22,"M/D-")) &amp; IF(N22="","",TEXT(N22,"M/D")) &amp; " "</f>
        <v xml:space="preserve">      100.00% 서버 프로그램 구조 설계 7/24-8/13 </v>
      </c>
      <c r="AH22" s="4"/>
      <c r="AI22" s="4"/>
      <c r="AJ22" s="4"/>
      <c r="AK22" s="4"/>
      <c r="AL22" s="4"/>
      <c r="AM22" s="4"/>
      <c r="AN22" s="4"/>
      <c r="AO22" s="4"/>
      <c r="AP22" s="4"/>
      <c r="AQ22" s="4"/>
      <c r="AR22" s="4"/>
      <c r="AS22" s="4"/>
      <c r="AT22" s="4"/>
      <c r="AU22" s="4"/>
      <c r="AV22" s="4"/>
      <c r="AW22" s="4"/>
      <c r="AX22" s="4"/>
      <c r="AY22" s="4"/>
      <c r="AZ22" s="4"/>
      <c r="BA22" s="4"/>
      <c r="BB22" s="4"/>
      <c r="BC22" s="4"/>
      <c r="BD22" s="4"/>
      <c r="BE22" s="4"/>
      <c r="BF22" s="4"/>
      <c r="BG22" s="4"/>
      <c r="BH22" s="4"/>
      <c r="BI22" s="4"/>
      <c r="BJ22" s="4"/>
      <c r="BK22" s="4"/>
      <c r="BL22" s="4"/>
      <c r="BM22" s="4"/>
      <c r="BN22" s="4"/>
      <c r="BO22" s="4"/>
      <c r="BP22" s="4"/>
      <c r="BQ22" s="4"/>
      <c r="BR22" s="4"/>
      <c r="BS22" s="4"/>
      <c r="BT22" s="4"/>
      <c r="BU22" s="4"/>
      <c r="BV22" s="4"/>
      <c r="BW22" s="4"/>
      <c r="BX22" s="4"/>
      <c r="BY22" s="4"/>
      <c r="BZ22" s="4"/>
      <c r="CA22" s="4"/>
      <c r="CB22" s="4"/>
      <c r="CC22" s="4"/>
      <c r="CD22" s="4"/>
      <c r="CE22" s="4"/>
      <c r="CF22" s="4"/>
      <c r="CG22" s="4"/>
      <c r="CH22" s="4"/>
      <c r="CI22" s="4"/>
      <c r="CJ22" s="4"/>
      <c r="CK22" s="4"/>
      <c r="CL22" s="4"/>
      <c r="CM22" s="4"/>
      <c r="CN22" s="4"/>
      <c r="CO22" s="4"/>
      <c r="CP22" s="4"/>
      <c r="CQ22" s="4"/>
      <c r="CR22" s="4"/>
      <c r="CS22" s="4"/>
      <c r="CT22" s="4"/>
      <c r="CU22" s="4"/>
      <c r="CV22" s="4"/>
      <c r="CW22" s="4"/>
      <c r="CX22" s="4"/>
      <c r="CY22" s="4"/>
      <c r="CZ22" s="4"/>
      <c r="DA22" s="4"/>
      <c r="DB22" s="4"/>
      <c r="DC22" s="4"/>
      <c r="DD22" s="4"/>
      <c r="DE22" s="4"/>
      <c r="DF22" s="4"/>
      <c r="DG22" s="4"/>
      <c r="DH22" s="4"/>
      <c r="DI22" s="4"/>
      <c r="DJ22" s="4"/>
      <c r="DK22" s="4"/>
      <c r="DL22" s="4"/>
      <c r="DM22" s="4"/>
      <c r="DN22" s="4"/>
      <c r="DO22" s="4"/>
      <c r="DP22" s="4"/>
      <c r="DQ22" s="4"/>
      <c r="DR22" s="4"/>
      <c r="DS22" s="4"/>
      <c r="DT22" s="4"/>
      <c r="DU22" s="4"/>
      <c r="DV22" s="4"/>
      <c r="DW22" s="4"/>
      <c r="DX22" s="4"/>
      <c r="DY22" s="4"/>
      <c r="DZ22" s="4"/>
      <c r="EA22" s="4"/>
      <c r="EB22" s="4"/>
      <c r="EC22" s="4"/>
      <c r="ED22" s="4"/>
      <c r="EE22" s="4"/>
      <c r="EF22" s="4"/>
      <c r="EG22" s="4"/>
      <c r="EH22" s="4"/>
      <c r="EI22" s="4"/>
      <c r="EJ22" s="4"/>
    </row>
    <row r="23" spans="1:140" outlineLevel="2">
      <c r="A23" s="116"/>
      <c r="B23" s="116"/>
      <c r="C23" s="116">
        <v>3</v>
      </c>
      <c r="D23" s="3" t="s">
        <v>1176</v>
      </c>
      <c r="E23" s="184"/>
      <c r="F23" s="184"/>
      <c r="G23" s="216" t="s">
        <v>1174</v>
      </c>
      <c r="H23" s="219"/>
      <c r="I23" s="184"/>
      <c r="J23" s="184"/>
      <c r="K23" s="184"/>
      <c r="L23" s="184"/>
      <c r="M23" s="185">
        <v>44401</v>
      </c>
      <c r="N23" s="185">
        <v>44421</v>
      </c>
      <c r="O23" s="186"/>
      <c r="P23" s="187">
        <v>21</v>
      </c>
      <c r="Q23" s="187">
        <v>21</v>
      </c>
      <c r="R23" s="188">
        <v>21</v>
      </c>
      <c r="S23" s="188">
        <v>21</v>
      </c>
      <c r="T23" s="185"/>
      <c r="U23" s="185"/>
      <c r="V23" s="189"/>
      <c r="W23" s="190">
        <v>0</v>
      </c>
      <c r="X23" s="191">
        <v>1</v>
      </c>
      <c r="Y23" s="186"/>
      <c r="Z23" s="192"/>
      <c r="AA23" s="97">
        <v>1</v>
      </c>
      <c r="AB23" s="193">
        <v>0.5</v>
      </c>
      <c r="AC23" s="123"/>
      <c r="AD23" s="4"/>
      <c r="AE23" s="4"/>
      <c r="AF23" s="4" t="str">
        <f>"   " &amp; TEXT(AB23,"#0.00%") &amp; " " &amp; "컨베이어 및 기구물 설계" &amp; " " &amp; IF(M23="","",TEXT(M23,"M/D-")) &amp; IF(N23="","",TEXT(N23,"M/D")) &amp; " "</f>
        <v xml:space="preserve">   50.00% 컨베이어 및 기구물 설계 7/24-8/13 </v>
      </c>
      <c r="AG23" s="4"/>
      <c r="AH23" s="4"/>
      <c r="AI23" s="4"/>
      <c r="AJ23" s="4"/>
      <c r="AK23" s="4"/>
      <c r="AL23" s="4"/>
      <c r="AM23" s="4"/>
      <c r="AN23" s="4"/>
      <c r="AO23" s="4"/>
      <c r="AP23" s="4"/>
      <c r="AQ23" s="4"/>
      <c r="AR23" s="4"/>
      <c r="AS23" s="4"/>
      <c r="AT23" s="4"/>
      <c r="AU23" s="4"/>
      <c r="AV23" s="4"/>
      <c r="AW23" s="4"/>
      <c r="AX23" s="4"/>
      <c r="AY23" s="4"/>
      <c r="AZ23" s="4"/>
      <c r="BA23" s="4"/>
      <c r="BB23" s="4"/>
      <c r="BC23" s="4"/>
      <c r="BD23" s="4"/>
      <c r="BE23" s="4"/>
      <c r="BF23" s="4"/>
      <c r="BG23" s="4"/>
      <c r="BH23" s="4"/>
      <c r="BI23" s="4"/>
      <c r="BJ23" s="4"/>
      <c r="BK23" s="4"/>
      <c r="BL23" s="4"/>
      <c r="BM23" s="4"/>
      <c r="BN23" s="4"/>
      <c r="BO23" s="4"/>
      <c r="BP23" s="4"/>
      <c r="BQ23" s="4"/>
      <c r="BR23" s="4"/>
      <c r="BS23" s="4"/>
      <c r="BT23" s="4"/>
      <c r="BU23" s="4"/>
      <c r="BV23" s="4"/>
      <c r="BW23" s="4"/>
      <c r="BX23" s="4"/>
      <c r="BY23" s="4"/>
      <c r="BZ23" s="4"/>
      <c r="CA23" s="4"/>
      <c r="CB23" s="4"/>
      <c r="CC23" s="4"/>
      <c r="CD23" s="4"/>
      <c r="CE23" s="4"/>
      <c r="CF23" s="4"/>
      <c r="CG23" s="4"/>
      <c r="CH23" s="4"/>
      <c r="CI23" s="4"/>
      <c r="CJ23" s="4"/>
      <c r="CK23" s="4"/>
      <c r="CL23" s="4"/>
      <c r="CM23" s="4"/>
      <c r="CN23" s="4"/>
      <c r="CO23" s="4"/>
      <c r="CP23" s="4"/>
      <c r="CQ23" s="4"/>
      <c r="CR23" s="4"/>
      <c r="CS23" s="4"/>
      <c r="CT23" s="4"/>
      <c r="CU23" s="4"/>
      <c r="CV23" s="4"/>
      <c r="CW23" s="4"/>
      <c r="CX23" s="4"/>
      <c r="CY23" s="4"/>
      <c r="CZ23" s="4"/>
      <c r="DA23" s="4"/>
      <c r="DB23" s="4"/>
      <c r="DC23" s="4"/>
      <c r="DD23" s="4"/>
      <c r="DE23" s="4"/>
      <c r="DF23" s="4"/>
      <c r="DG23" s="4"/>
      <c r="DH23" s="4"/>
      <c r="DI23" s="4"/>
      <c r="DJ23" s="4"/>
      <c r="DK23" s="4"/>
      <c r="DL23" s="4"/>
      <c r="DM23" s="4"/>
      <c r="DN23" s="4"/>
      <c r="DO23" s="4"/>
      <c r="DP23" s="4"/>
      <c r="DQ23" s="4"/>
      <c r="DR23" s="4"/>
      <c r="DS23" s="4"/>
      <c r="DT23" s="4"/>
      <c r="DU23" s="4"/>
      <c r="DV23" s="4"/>
      <c r="DW23" s="4"/>
      <c r="DX23" s="4"/>
      <c r="DY23" s="4"/>
      <c r="DZ23" s="4"/>
      <c r="EA23" s="4"/>
      <c r="EB23" s="4"/>
      <c r="EC23" s="4"/>
      <c r="ED23" s="4"/>
      <c r="EE23" s="4"/>
      <c r="EF23" s="4"/>
      <c r="EG23" s="4"/>
      <c r="EH23" s="4"/>
      <c r="EI23" s="4"/>
      <c r="EJ23" s="4"/>
    </row>
    <row r="24" spans="1:140" outlineLevel="2">
      <c r="A24" s="116"/>
      <c r="B24" s="116"/>
      <c r="C24" s="116">
        <v>3</v>
      </c>
      <c r="D24" s="3" t="s">
        <v>1177</v>
      </c>
      <c r="E24" s="184"/>
      <c r="F24" s="184"/>
      <c r="G24" s="216" t="s">
        <v>1175</v>
      </c>
      <c r="H24" s="219"/>
      <c r="I24" s="184"/>
      <c r="J24" s="184"/>
      <c r="K24" s="184"/>
      <c r="L24" s="184"/>
      <c r="M24" s="185">
        <v>44401</v>
      </c>
      <c r="N24" s="185">
        <v>44421</v>
      </c>
      <c r="O24" s="186"/>
      <c r="P24" s="187">
        <v>21</v>
      </c>
      <c r="Q24" s="187">
        <v>21</v>
      </c>
      <c r="R24" s="188">
        <v>21</v>
      </c>
      <c r="S24" s="188">
        <v>21</v>
      </c>
      <c r="T24" s="185"/>
      <c r="U24" s="185"/>
      <c r="V24" s="189"/>
      <c r="W24" s="190">
        <v>0</v>
      </c>
      <c r="X24" s="191">
        <v>1</v>
      </c>
      <c r="Y24" s="186"/>
      <c r="Z24" s="192"/>
      <c r="AA24" s="97">
        <v>1</v>
      </c>
      <c r="AB24" s="193">
        <v>1</v>
      </c>
      <c r="AC24" s="123"/>
      <c r="AD24" s="4"/>
      <c r="AE24" s="4"/>
      <c r="AF24" s="4"/>
      <c r="AG24" s="4" t="str">
        <f>"      " &amp; TEXT(AB24,"#0.00%") &amp; " " &amp; "Pi 프로그램 설계" &amp; " " &amp; IF(M24="","",TEXT(M24,"M/D-")) &amp; IF(N24="","",TEXT(N24,"M/D")) &amp; " "</f>
        <v xml:space="preserve">      100.00% Pi 프로그램 설계 7/24-8/13 </v>
      </c>
      <c r="AH24" s="4"/>
      <c r="AI24" s="4"/>
      <c r="AJ24" s="4"/>
      <c r="AK24" s="4"/>
      <c r="AL24" s="4"/>
      <c r="AM24" s="4"/>
      <c r="AN24" s="4"/>
      <c r="AO24" s="4"/>
      <c r="AP24" s="4"/>
      <c r="AQ24" s="4"/>
      <c r="AR24" s="4"/>
      <c r="AS24" s="4"/>
      <c r="AT24" s="4"/>
      <c r="AU24" s="4"/>
      <c r="AV24" s="4"/>
      <c r="AW24" s="4"/>
      <c r="AX24" s="4"/>
      <c r="AY24" s="4"/>
      <c r="AZ24" s="4"/>
      <c r="BA24" s="4"/>
      <c r="BB24" s="4"/>
      <c r="BC24" s="4"/>
      <c r="BD24" s="4"/>
      <c r="BE24" s="4"/>
      <c r="BF24" s="4"/>
      <c r="BG24" s="4"/>
      <c r="BH24" s="4"/>
      <c r="BI24" s="4"/>
      <c r="BJ24" s="4"/>
      <c r="BK24" s="4"/>
      <c r="BL24" s="4"/>
      <c r="BM24" s="4"/>
      <c r="BN24" s="4"/>
      <c r="BO24" s="4"/>
      <c r="BP24" s="4"/>
      <c r="BQ24" s="4"/>
      <c r="BR24" s="4"/>
      <c r="BS24" s="4"/>
      <c r="BT24" s="4"/>
      <c r="BU24" s="4"/>
      <c r="BV24" s="4"/>
      <c r="BW24" s="4"/>
      <c r="BX24" s="4"/>
      <c r="BY24" s="4"/>
      <c r="BZ24" s="4"/>
      <c r="CA24" s="4"/>
      <c r="CB24" s="4"/>
      <c r="CC24" s="4"/>
      <c r="CD24" s="4"/>
      <c r="CE24" s="4"/>
      <c r="CF24" s="4"/>
      <c r="CG24" s="4"/>
      <c r="CH24" s="4"/>
      <c r="CI24" s="4"/>
      <c r="CJ24" s="4"/>
      <c r="CK24" s="4"/>
      <c r="CL24" s="4"/>
      <c r="CM24" s="4"/>
      <c r="CN24" s="4"/>
      <c r="CO24" s="4"/>
      <c r="CP24" s="4"/>
      <c r="CQ24" s="4"/>
      <c r="CR24" s="4"/>
      <c r="CS24" s="4"/>
      <c r="CT24" s="4"/>
      <c r="CU24" s="4"/>
      <c r="CV24" s="4"/>
      <c r="CW24" s="4"/>
      <c r="CX24" s="4"/>
      <c r="CY24" s="4"/>
      <c r="CZ24" s="4"/>
      <c r="DA24" s="4"/>
      <c r="DB24" s="4"/>
      <c r="DC24" s="4"/>
      <c r="DD24" s="4"/>
      <c r="DE24" s="4"/>
      <c r="DF24" s="4"/>
      <c r="DG24" s="4"/>
      <c r="DH24" s="4"/>
      <c r="DI24" s="4"/>
      <c r="DJ24" s="4"/>
      <c r="DK24" s="4"/>
      <c r="DL24" s="4"/>
      <c r="DM24" s="4"/>
      <c r="DN24" s="4"/>
      <c r="DO24" s="4"/>
      <c r="DP24" s="4"/>
      <c r="DQ24" s="4"/>
      <c r="DR24" s="4"/>
      <c r="DS24" s="4"/>
      <c r="DT24" s="4"/>
      <c r="DU24" s="4"/>
      <c r="DV24" s="4"/>
      <c r="DW24" s="4"/>
      <c r="DX24" s="4"/>
      <c r="DY24" s="4"/>
      <c r="DZ24" s="4"/>
      <c r="EA24" s="4"/>
      <c r="EB24" s="4"/>
      <c r="EC24" s="4"/>
      <c r="ED24" s="4"/>
      <c r="EE24" s="4"/>
      <c r="EF24" s="4"/>
      <c r="EG24" s="4"/>
      <c r="EH24" s="4"/>
      <c r="EI24" s="4"/>
      <c r="EJ24" s="4"/>
    </row>
    <row r="25" spans="1:140" outlineLevel="1">
      <c r="A25" s="116"/>
      <c r="B25" s="116" t="s">
        <v>1071</v>
      </c>
      <c r="C25" s="116">
        <v>2</v>
      </c>
      <c r="D25" s="3" t="s">
        <v>1081</v>
      </c>
      <c r="E25" s="184"/>
      <c r="F25" s="184" t="s">
        <v>1014</v>
      </c>
      <c r="G25" s="184"/>
      <c r="H25" s="184"/>
      <c r="I25" s="184"/>
      <c r="J25" s="184"/>
      <c r="K25" s="184"/>
      <c r="L25" s="184"/>
      <c r="M25" s="185">
        <v>44429</v>
      </c>
      <c r="N25" s="185">
        <v>44471</v>
      </c>
      <c r="O25" s="186"/>
      <c r="P25" s="187">
        <v>331</v>
      </c>
      <c r="Q25" s="187">
        <v>275</v>
      </c>
      <c r="R25" s="188">
        <v>43</v>
      </c>
      <c r="S25" s="188">
        <v>36</v>
      </c>
      <c r="T25" s="185"/>
      <c r="U25" s="185"/>
      <c r="V25" s="189">
        <v>0</v>
      </c>
      <c r="W25" s="190">
        <v>0</v>
      </c>
      <c r="X25" s="191"/>
      <c r="Y25" s="186"/>
      <c r="Z25" s="192"/>
      <c r="AA25" s="97">
        <v>0.83081570996978849</v>
      </c>
      <c r="AB25" s="193">
        <v>0.9498489425981872</v>
      </c>
      <c r="AC25" s="123"/>
      <c r="AD25" s="4"/>
      <c r="AE25" s="4"/>
      <c r="AF25" s="4"/>
      <c r="AG25" s="4"/>
      <c r="AH25" s="4"/>
      <c r="AI25" s="4"/>
      <c r="AJ25" s="4"/>
      <c r="AK25" s="4"/>
      <c r="AL25" s="4"/>
      <c r="AM25" s="4"/>
      <c r="AN25" s="4" t="str">
        <f>"     " &amp; TEXT(AB25,"#0.00%") &amp; " " &amp; "개발" &amp; " " &amp; IF(M25="","",TEXT(M25,"M/D-")) &amp; IF(N25="","",TEXT(N25,"M/D")) &amp; " "</f>
        <v xml:space="preserve">     94.98% 개발 8/21-10/2 </v>
      </c>
      <c r="AO25" s="4"/>
      <c r="AP25" s="4"/>
      <c r="AQ25" s="4"/>
      <c r="AR25" s="4"/>
      <c r="AS25" s="4"/>
      <c r="AT25" s="4"/>
      <c r="AU25" s="4"/>
      <c r="AV25" s="4"/>
      <c r="AW25" s="4"/>
      <c r="AX25" s="4"/>
      <c r="AY25" s="4"/>
      <c r="AZ25" s="4"/>
      <c r="BA25" s="4"/>
      <c r="BB25" s="4"/>
      <c r="BC25" s="4"/>
      <c r="BD25" s="4"/>
      <c r="BE25" s="4"/>
      <c r="BF25" s="4"/>
      <c r="BG25" s="4"/>
      <c r="BH25" s="4"/>
      <c r="BI25" s="4"/>
      <c r="BJ25" s="4"/>
      <c r="BK25" s="4"/>
      <c r="BL25" s="4"/>
      <c r="BM25" s="4"/>
      <c r="BN25" s="4"/>
      <c r="BO25" s="4"/>
      <c r="BP25" s="4"/>
      <c r="BQ25" s="4"/>
      <c r="BR25" s="4"/>
      <c r="BS25" s="4"/>
      <c r="BT25" s="4"/>
      <c r="BU25" s="4"/>
      <c r="BV25" s="4"/>
      <c r="BW25" s="4"/>
      <c r="BX25" s="4"/>
      <c r="BY25" s="4"/>
      <c r="BZ25" s="4"/>
      <c r="CA25" s="4"/>
      <c r="CB25" s="4"/>
      <c r="CC25" s="4"/>
      <c r="CD25" s="4"/>
      <c r="CE25" s="4"/>
      <c r="CF25" s="4"/>
      <c r="CG25" s="4"/>
      <c r="CH25" s="4"/>
      <c r="CI25" s="4"/>
      <c r="CJ25" s="4"/>
      <c r="CK25" s="4"/>
      <c r="CL25" s="4"/>
      <c r="CM25" s="4"/>
      <c r="CN25" s="4"/>
      <c r="CO25" s="4"/>
      <c r="CP25" s="4"/>
      <c r="CQ25" s="4"/>
      <c r="CR25" s="4"/>
      <c r="CS25" s="4"/>
      <c r="CT25" s="4"/>
      <c r="CU25" s="4"/>
      <c r="CV25" s="4"/>
      <c r="CW25" s="4"/>
      <c r="CX25" s="4"/>
      <c r="CY25" s="4"/>
      <c r="CZ25" s="4"/>
      <c r="DA25" s="4"/>
      <c r="DB25" s="4"/>
      <c r="DC25" s="4"/>
      <c r="DD25" s="4"/>
      <c r="DE25" s="4"/>
      <c r="DF25" s="4"/>
      <c r="DG25" s="4"/>
      <c r="DH25" s="4"/>
      <c r="DI25" s="4"/>
      <c r="DJ25" s="4"/>
      <c r="DK25" s="4"/>
      <c r="DL25" s="4"/>
      <c r="DM25" s="4"/>
      <c r="DN25" s="4"/>
      <c r="DO25" s="4"/>
      <c r="DP25" s="4"/>
      <c r="DQ25" s="4"/>
      <c r="DR25" s="4"/>
      <c r="DS25" s="4"/>
      <c r="DT25" s="4"/>
      <c r="DU25" s="4"/>
      <c r="DV25" s="4"/>
      <c r="DW25" s="4"/>
      <c r="DX25" s="4"/>
      <c r="DY25" s="4"/>
      <c r="DZ25" s="4"/>
      <c r="EA25" s="4"/>
      <c r="EB25" s="4"/>
      <c r="EC25" s="4"/>
      <c r="ED25" s="4"/>
      <c r="EE25" s="4"/>
      <c r="EF25" s="4"/>
      <c r="EG25" s="4"/>
      <c r="EH25" s="4"/>
      <c r="EI25" s="4"/>
      <c r="EJ25" s="4"/>
    </row>
    <row r="26" spans="1:140" outlineLevel="2">
      <c r="A26" s="116"/>
      <c r="B26" s="116" t="s">
        <v>1071</v>
      </c>
      <c r="C26" s="116">
        <v>3</v>
      </c>
      <c r="D26" s="3" t="s">
        <v>1082</v>
      </c>
      <c r="E26" s="184"/>
      <c r="F26" s="184"/>
      <c r="G26" s="184" t="s">
        <v>1015</v>
      </c>
      <c r="H26" s="184"/>
      <c r="I26" s="184"/>
      <c r="J26" s="184"/>
      <c r="K26" s="184"/>
      <c r="L26" s="184"/>
      <c r="M26" s="185">
        <v>44429</v>
      </c>
      <c r="N26" s="185">
        <v>44471</v>
      </c>
      <c r="O26" s="186"/>
      <c r="P26" s="187">
        <v>151</v>
      </c>
      <c r="Q26" s="187">
        <v>130</v>
      </c>
      <c r="R26" s="188">
        <v>43</v>
      </c>
      <c r="S26" s="188">
        <v>36</v>
      </c>
      <c r="T26" s="185"/>
      <c r="U26" s="185"/>
      <c r="V26" s="189">
        <v>0</v>
      </c>
      <c r="W26" s="190">
        <v>0</v>
      </c>
      <c r="X26" s="191"/>
      <c r="Y26" s="186"/>
      <c r="Z26" s="192"/>
      <c r="AA26" s="97">
        <v>0.86092715231788075</v>
      </c>
      <c r="AB26" s="193">
        <v>0.94304635761589406</v>
      </c>
      <c r="AC26" s="123"/>
      <c r="AD26" s="4"/>
      <c r="AE26" s="4"/>
      <c r="AF26" s="4"/>
      <c r="AG26" s="4"/>
      <c r="AH26" s="4"/>
      <c r="AI26" s="4"/>
      <c r="AJ26" s="4"/>
      <c r="AK26" s="4"/>
      <c r="AL26" s="4"/>
      <c r="AM26" s="4"/>
      <c r="AN26" s="4" t="str">
        <f>"     " &amp; TEXT(AB26,"#0.00%") &amp; " " &amp; "프로그램 개발" &amp; " " &amp; IF(M26="","",TEXT(M26,"M/D-")) &amp; IF(N26="","",TEXT(N26,"M/D")) &amp; " "</f>
        <v xml:space="preserve">     94.30% 프로그램 개발 8/21-10/2 </v>
      </c>
      <c r="AO26" s="4"/>
      <c r="AP26" s="4"/>
      <c r="AQ26" s="4"/>
      <c r="AR26" s="4"/>
      <c r="AS26" s="4"/>
      <c r="AT26" s="4"/>
      <c r="AU26" s="4"/>
      <c r="AV26" s="4"/>
      <c r="AW26" s="4"/>
      <c r="AX26" s="4"/>
      <c r="AY26" s="4"/>
      <c r="AZ26" s="4"/>
      <c r="BA26" s="4"/>
      <c r="BB26" s="4"/>
      <c r="BC26" s="4"/>
      <c r="BD26" s="4"/>
      <c r="BE26" s="4"/>
      <c r="BF26" s="4"/>
      <c r="BG26" s="4"/>
      <c r="BH26" s="4"/>
      <c r="BI26" s="4"/>
      <c r="BJ26" s="4"/>
      <c r="BK26" s="4"/>
      <c r="BL26" s="4"/>
      <c r="BM26" s="4"/>
      <c r="BN26" s="4"/>
      <c r="BO26" s="4"/>
      <c r="BP26" s="4"/>
      <c r="BQ26" s="4"/>
      <c r="BR26" s="4"/>
      <c r="BS26" s="4"/>
      <c r="BT26" s="4"/>
      <c r="BU26" s="4"/>
      <c r="BV26" s="4"/>
      <c r="BW26" s="4"/>
      <c r="BX26" s="4"/>
      <c r="BY26" s="4"/>
      <c r="BZ26" s="4"/>
      <c r="CA26" s="4"/>
      <c r="CB26" s="4"/>
      <c r="CC26" s="4"/>
      <c r="CD26" s="4"/>
      <c r="CE26" s="4"/>
      <c r="CF26" s="4"/>
      <c r="CG26" s="4"/>
      <c r="CH26" s="4"/>
      <c r="CI26" s="4"/>
      <c r="CJ26" s="4"/>
      <c r="CK26" s="4"/>
      <c r="CL26" s="4"/>
      <c r="CM26" s="4"/>
      <c r="CN26" s="4"/>
      <c r="CO26" s="4"/>
      <c r="CP26" s="4"/>
      <c r="CQ26" s="4"/>
      <c r="CR26" s="4"/>
      <c r="CS26" s="4"/>
      <c r="CT26" s="4"/>
      <c r="CU26" s="4"/>
      <c r="CV26" s="4"/>
      <c r="CW26" s="4"/>
      <c r="CX26" s="4"/>
      <c r="CY26" s="4"/>
      <c r="CZ26" s="4"/>
      <c r="DA26" s="4"/>
      <c r="DB26" s="4"/>
      <c r="DC26" s="4"/>
      <c r="DD26" s="4"/>
      <c r="DE26" s="4"/>
      <c r="DF26" s="4"/>
      <c r="DG26" s="4"/>
      <c r="DH26" s="4"/>
      <c r="DI26" s="4"/>
      <c r="DJ26" s="4"/>
      <c r="DK26" s="4"/>
      <c r="DL26" s="4"/>
      <c r="DM26" s="4"/>
      <c r="DN26" s="4"/>
      <c r="DO26" s="4"/>
      <c r="DP26" s="4"/>
      <c r="DQ26" s="4"/>
      <c r="DR26" s="4"/>
      <c r="DS26" s="4"/>
      <c r="DT26" s="4"/>
      <c r="DU26" s="4"/>
      <c r="DV26" s="4"/>
      <c r="DW26" s="4"/>
      <c r="DX26" s="4"/>
      <c r="DY26" s="4"/>
      <c r="DZ26" s="4"/>
      <c r="EA26" s="4"/>
      <c r="EB26" s="4"/>
      <c r="EC26" s="4"/>
      <c r="ED26" s="4"/>
      <c r="EE26" s="4"/>
      <c r="EF26" s="4"/>
      <c r="EG26" s="4"/>
      <c r="EH26" s="4"/>
      <c r="EI26" s="4"/>
      <c r="EJ26" s="4"/>
    </row>
    <row r="27" spans="1:140" outlineLevel="3">
      <c r="A27" s="116"/>
      <c r="B27" s="116" t="s">
        <v>1071</v>
      </c>
      <c r="C27" s="116">
        <v>4</v>
      </c>
      <c r="D27" s="3" t="s">
        <v>1016</v>
      </c>
      <c r="E27" s="184"/>
      <c r="F27" s="184"/>
      <c r="G27" s="184"/>
      <c r="H27" s="184" t="s">
        <v>1178</v>
      </c>
      <c r="I27" s="219"/>
      <c r="J27" s="184"/>
      <c r="K27" s="184"/>
      <c r="L27" s="184"/>
      <c r="M27" s="185">
        <v>44429</v>
      </c>
      <c r="N27" s="185">
        <v>44471</v>
      </c>
      <c r="O27" s="186"/>
      <c r="P27" s="187">
        <v>86</v>
      </c>
      <c r="Q27" s="187">
        <v>72</v>
      </c>
      <c r="R27" s="188">
        <v>43</v>
      </c>
      <c r="S27" s="188">
        <v>36</v>
      </c>
      <c r="T27" s="185"/>
      <c r="U27" s="185"/>
      <c r="V27" s="189">
        <v>0</v>
      </c>
      <c r="W27" s="190">
        <v>0</v>
      </c>
      <c r="X27" s="191"/>
      <c r="Y27" s="186"/>
      <c r="Z27" s="192"/>
      <c r="AA27" s="97">
        <v>0.83720930232558144</v>
      </c>
      <c r="AB27" s="193">
        <v>0.9</v>
      </c>
      <c r="AC27" s="123"/>
      <c r="AD27" s="4"/>
      <c r="AE27" s="4"/>
      <c r="AF27" s="4"/>
      <c r="AG27" s="4"/>
      <c r="AH27" s="4"/>
      <c r="AI27" s="4"/>
      <c r="AJ27" s="4"/>
      <c r="AK27" s="4"/>
      <c r="AL27" s="4"/>
      <c r="AM27" s="4"/>
      <c r="AN27" s="4" t="str">
        <f>"   " &amp; TEXT(AB27,"#0.00%") &amp; " " &amp; "UI" &amp; " " &amp; IF(M27="","",TEXT(M27,"M/D-")) &amp; IF(N27="","",TEXT(N27,"M/D")) &amp; " "</f>
        <v xml:space="preserve">   90.00% UI 8/21-10/2 </v>
      </c>
      <c r="AO27" s="4"/>
      <c r="AP27" s="4"/>
      <c r="AQ27" s="4"/>
      <c r="AR27" s="4"/>
      <c r="AS27" s="4"/>
      <c r="AT27" s="4"/>
      <c r="AU27" s="4"/>
      <c r="AV27" s="4"/>
      <c r="AW27" s="4"/>
      <c r="AX27" s="4"/>
      <c r="AY27" s="4"/>
      <c r="AZ27" s="4"/>
      <c r="BA27" s="4"/>
      <c r="BB27" s="4"/>
      <c r="BC27" s="4"/>
      <c r="BD27" s="4"/>
      <c r="BE27" s="4"/>
      <c r="BF27" s="4"/>
      <c r="BG27" s="4"/>
      <c r="BH27" s="4"/>
      <c r="BI27" s="4"/>
      <c r="BJ27" s="4"/>
      <c r="BK27" s="4"/>
      <c r="BL27" s="4"/>
      <c r="BM27" s="4"/>
      <c r="BN27" s="4"/>
      <c r="BO27" s="4"/>
      <c r="BP27" s="4"/>
      <c r="BQ27" s="4"/>
      <c r="BR27" s="4"/>
      <c r="BS27" s="4"/>
      <c r="BT27" s="4"/>
      <c r="BU27" s="4"/>
      <c r="BV27" s="4"/>
      <c r="BW27" s="4"/>
      <c r="BX27" s="4"/>
      <c r="BY27" s="4"/>
      <c r="BZ27" s="4"/>
      <c r="CA27" s="4"/>
      <c r="CB27" s="4"/>
      <c r="CC27" s="4"/>
      <c r="CD27" s="4"/>
      <c r="CE27" s="4"/>
      <c r="CF27" s="4"/>
      <c r="CG27" s="4"/>
      <c r="CH27" s="4"/>
      <c r="CI27" s="4"/>
      <c r="CJ27" s="4"/>
      <c r="CK27" s="4"/>
      <c r="CL27" s="4"/>
      <c r="CM27" s="4"/>
      <c r="CN27" s="4"/>
      <c r="CO27" s="4"/>
      <c r="CP27" s="4"/>
      <c r="CQ27" s="4"/>
      <c r="CR27" s="4"/>
      <c r="CS27" s="4"/>
      <c r="CT27" s="4"/>
      <c r="CU27" s="4"/>
      <c r="CV27" s="4"/>
      <c r="CW27" s="4"/>
      <c r="CX27" s="4"/>
      <c r="CY27" s="4"/>
      <c r="CZ27" s="4"/>
      <c r="DA27" s="4"/>
      <c r="DB27" s="4"/>
      <c r="DC27" s="4"/>
      <c r="DD27" s="4"/>
      <c r="DE27" s="4"/>
      <c r="DF27" s="4"/>
      <c r="DG27" s="4"/>
      <c r="DH27" s="4"/>
      <c r="DI27" s="4"/>
      <c r="DJ27" s="4"/>
      <c r="DK27" s="4"/>
      <c r="DL27" s="4"/>
      <c r="DM27" s="4"/>
      <c r="DN27" s="4"/>
      <c r="DO27" s="4"/>
      <c r="DP27" s="4"/>
      <c r="DQ27" s="4"/>
      <c r="DR27" s="4"/>
      <c r="DS27" s="4"/>
      <c r="DT27" s="4"/>
      <c r="DU27" s="4"/>
      <c r="DV27" s="4"/>
      <c r="DW27" s="4"/>
      <c r="DX27" s="4"/>
      <c r="DY27" s="4"/>
      <c r="DZ27" s="4"/>
      <c r="EA27" s="4"/>
      <c r="EB27" s="4"/>
      <c r="EC27" s="4"/>
      <c r="ED27" s="4"/>
      <c r="EE27" s="4"/>
      <c r="EF27" s="4"/>
      <c r="EG27" s="4"/>
      <c r="EH27" s="4"/>
      <c r="EI27" s="4"/>
      <c r="EJ27" s="4"/>
    </row>
    <row r="28" spans="1:140" outlineLevel="4">
      <c r="A28" s="116"/>
      <c r="B28" s="116"/>
      <c r="C28" s="116">
        <v>5</v>
      </c>
      <c r="D28" s="3" t="s">
        <v>1192</v>
      </c>
      <c r="E28" s="184"/>
      <c r="F28" s="184"/>
      <c r="G28" s="184"/>
      <c r="H28" s="184"/>
      <c r="I28" s="219" t="s">
        <v>1191</v>
      </c>
      <c r="J28" s="184"/>
      <c r="K28" s="184"/>
      <c r="L28" s="184"/>
      <c r="M28" s="185">
        <v>44429</v>
      </c>
      <c r="N28" s="185">
        <v>44471</v>
      </c>
      <c r="O28" s="186"/>
      <c r="P28" s="187">
        <v>43</v>
      </c>
      <c r="Q28" s="187">
        <v>36</v>
      </c>
      <c r="R28" s="188">
        <v>43</v>
      </c>
      <c r="S28" s="188">
        <v>36</v>
      </c>
      <c r="T28" s="185"/>
      <c r="U28" s="185"/>
      <c r="V28" s="189"/>
      <c r="W28" s="190">
        <v>0</v>
      </c>
      <c r="X28" s="191">
        <v>1</v>
      </c>
      <c r="Y28" s="186"/>
      <c r="Z28" s="192"/>
      <c r="AA28" s="97">
        <v>0.83720930232558144</v>
      </c>
      <c r="AB28" s="193">
        <v>1</v>
      </c>
      <c r="AC28" s="123"/>
      <c r="AD28" s="4"/>
      <c r="AE28" s="4"/>
      <c r="AF28" s="4"/>
      <c r="AG28" s="4"/>
      <c r="AH28" s="4"/>
      <c r="AI28" s="4"/>
      <c r="AJ28" s="4"/>
      <c r="AK28" s="4"/>
      <c r="AL28" s="4"/>
      <c r="AM28" s="4"/>
      <c r="AN28" s="4"/>
      <c r="AO28" s="4" t="str">
        <f>"" &amp; TEXT(AB28,"#0.00%") &amp; " " &amp; "서버와 데이터 송수신 기능" &amp; " " &amp; IF(M28="","",TEXT(M28,"M/D-")) &amp; IF(N28="","",TEXT(N28,"M/D")) &amp; " "</f>
        <v xml:space="preserve">100.00% 서버와 데이터 송수신 기능 8/21-10/2 </v>
      </c>
      <c r="AP28" s="4"/>
      <c r="AQ28" s="4"/>
      <c r="AR28" s="4"/>
      <c r="AS28" s="4"/>
      <c r="AT28" s="4"/>
      <c r="AU28" s="4"/>
      <c r="AV28" s="4"/>
      <c r="AW28" s="4"/>
      <c r="AX28" s="4"/>
      <c r="AY28" s="4"/>
      <c r="AZ28" s="4"/>
      <c r="BA28" s="4"/>
      <c r="BB28" s="4"/>
      <c r="BC28" s="4"/>
      <c r="BD28" s="4"/>
      <c r="BE28" s="4"/>
      <c r="BF28" s="4"/>
      <c r="BG28" s="4"/>
      <c r="BH28" s="4"/>
      <c r="BI28" s="4"/>
      <c r="BJ28" s="4"/>
      <c r="BK28" s="4"/>
      <c r="BL28" s="4"/>
      <c r="BM28" s="4"/>
      <c r="BN28" s="4"/>
      <c r="BO28" s="4"/>
      <c r="BP28" s="4"/>
      <c r="BQ28" s="4"/>
      <c r="BR28" s="4"/>
      <c r="BS28" s="4"/>
      <c r="BT28" s="4"/>
      <c r="BU28" s="4"/>
      <c r="BV28" s="4"/>
      <c r="BW28" s="4"/>
      <c r="BX28" s="4"/>
      <c r="BY28" s="4"/>
      <c r="BZ28" s="4"/>
      <c r="CA28" s="4"/>
      <c r="CB28" s="4"/>
      <c r="CC28" s="4"/>
      <c r="CD28" s="4"/>
      <c r="CE28" s="4"/>
      <c r="CF28" s="4"/>
      <c r="CG28" s="4"/>
      <c r="CH28" s="4"/>
      <c r="CI28" s="4"/>
      <c r="CJ28" s="4"/>
      <c r="CK28" s="4"/>
      <c r="CL28" s="4"/>
      <c r="CM28" s="4"/>
      <c r="CN28" s="4"/>
      <c r="CO28" s="4"/>
      <c r="CP28" s="4"/>
      <c r="CQ28" s="4"/>
      <c r="CR28" s="4"/>
      <c r="CS28" s="4"/>
      <c r="CT28" s="4"/>
      <c r="CU28" s="4"/>
      <c r="CV28" s="4"/>
      <c r="CW28" s="4"/>
      <c r="CX28" s="4"/>
      <c r="CY28" s="4"/>
      <c r="CZ28" s="4"/>
      <c r="DA28" s="4"/>
      <c r="DB28" s="4"/>
      <c r="DC28" s="4"/>
      <c r="DD28" s="4"/>
      <c r="DE28" s="4"/>
      <c r="DF28" s="4"/>
      <c r="DG28" s="4"/>
      <c r="DH28" s="4"/>
      <c r="DI28" s="4"/>
      <c r="DJ28" s="4"/>
      <c r="DK28" s="4"/>
      <c r="DL28" s="4"/>
      <c r="DM28" s="4"/>
      <c r="DN28" s="4"/>
      <c r="DO28" s="4"/>
      <c r="DP28" s="4"/>
      <c r="DQ28" s="4"/>
      <c r="DR28" s="4"/>
      <c r="DS28" s="4"/>
      <c r="DT28" s="4"/>
      <c r="DU28" s="4"/>
      <c r="DV28" s="4"/>
      <c r="DW28" s="4"/>
      <c r="DX28" s="4"/>
      <c r="DY28" s="4"/>
      <c r="DZ28" s="4"/>
      <c r="EA28" s="4"/>
      <c r="EB28" s="4"/>
      <c r="EC28" s="4"/>
      <c r="ED28" s="4"/>
      <c r="EE28" s="4"/>
      <c r="EF28" s="4"/>
      <c r="EG28" s="4"/>
      <c r="EH28" s="4"/>
      <c r="EI28" s="4"/>
      <c r="EJ28" s="4"/>
    </row>
    <row r="29" spans="1:140" outlineLevel="4">
      <c r="A29" s="116"/>
      <c r="B29" s="116"/>
      <c r="C29" s="116">
        <v>5</v>
      </c>
      <c r="D29" s="3" t="s">
        <v>1193</v>
      </c>
      <c r="E29" s="184"/>
      <c r="F29" s="184"/>
      <c r="G29" s="184"/>
      <c r="H29" s="184"/>
      <c r="I29" s="251" t="s">
        <v>1190</v>
      </c>
      <c r="J29" s="184"/>
      <c r="K29" s="184"/>
      <c r="L29" s="184"/>
      <c r="M29" s="185">
        <v>44429</v>
      </c>
      <c r="N29" s="185">
        <v>44471</v>
      </c>
      <c r="O29" s="186"/>
      <c r="P29" s="187">
        <v>43</v>
      </c>
      <c r="Q29" s="187">
        <v>36</v>
      </c>
      <c r="R29" s="188">
        <v>43</v>
      </c>
      <c r="S29" s="188">
        <v>36</v>
      </c>
      <c r="T29" s="185"/>
      <c r="U29" s="185"/>
      <c r="V29" s="189"/>
      <c r="W29" s="190">
        <v>0</v>
      </c>
      <c r="X29" s="191">
        <v>1</v>
      </c>
      <c r="Y29" s="186"/>
      <c r="Z29" s="192"/>
      <c r="AA29" s="97">
        <v>0.83720930232558144</v>
      </c>
      <c r="AB29" s="193">
        <v>0.8</v>
      </c>
      <c r="AC29" s="123"/>
      <c r="AD29" s="4"/>
      <c r="AE29" s="4"/>
      <c r="AF29" s="4"/>
      <c r="AG29" s="4"/>
      <c r="AH29" s="4"/>
      <c r="AI29" s="4"/>
      <c r="AJ29" s="4"/>
      <c r="AK29" s="4"/>
      <c r="AL29" s="4"/>
      <c r="AM29" s="4" t="str">
        <f>"     " &amp; TEXT(AB29,"#0.00%") &amp; " " &amp; "서버 수신 데이터 화면 표시 기능" &amp; " " &amp; IF(M29="","",TEXT(M29,"M/D-")) &amp; IF(N29="","",TEXT(N29,"M/D")) &amp; " "</f>
        <v xml:space="preserve">     80.00% 서버 수신 데이터 화면 표시 기능 8/21-10/2 </v>
      </c>
      <c r="AN29" s="4"/>
      <c r="AO29" s="4"/>
      <c r="AP29" s="4"/>
      <c r="AQ29" s="4"/>
      <c r="AR29" s="4"/>
      <c r="AS29" s="4"/>
      <c r="AT29" s="4"/>
      <c r="AU29" s="4"/>
      <c r="AV29" s="4"/>
      <c r="AW29" s="4"/>
      <c r="AX29" s="4"/>
      <c r="AY29" s="4"/>
      <c r="AZ29" s="4"/>
      <c r="BA29" s="4"/>
      <c r="BB29" s="4"/>
      <c r="BC29" s="4"/>
      <c r="BD29" s="4"/>
      <c r="BE29" s="4"/>
      <c r="BF29" s="4"/>
      <c r="BG29" s="4"/>
      <c r="BH29" s="4"/>
      <c r="BI29" s="4"/>
      <c r="BJ29" s="4"/>
      <c r="BK29" s="4"/>
      <c r="BL29" s="4"/>
      <c r="BM29" s="4"/>
      <c r="BN29" s="4"/>
      <c r="BO29" s="4"/>
      <c r="BP29" s="4"/>
      <c r="BQ29" s="4"/>
      <c r="BR29" s="4"/>
      <c r="BS29" s="4"/>
      <c r="BT29" s="4"/>
      <c r="BU29" s="4"/>
      <c r="BV29" s="4"/>
      <c r="BW29" s="4"/>
      <c r="BX29" s="4"/>
      <c r="BY29" s="4"/>
      <c r="BZ29" s="4"/>
      <c r="CA29" s="4"/>
      <c r="CB29" s="4"/>
      <c r="CC29" s="4"/>
      <c r="CD29" s="4"/>
      <c r="CE29" s="4"/>
      <c r="CF29" s="4"/>
      <c r="CG29" s="4"/>
      <c r="CH29" s="4"/>
      <c r="CI29" s="4"/>
      <c r="CJ29" s="4"/>
      <c r="CK29" s="4"/>
      <c r="CL29" s="4"/>
      <c r="CM29" s="4"/>
      <c r="CN29" s="4"/>
      <c r="CO29" s="4"/>
      <c r="CP29" s="4"/>
      <c r="CQ29" s="4"/>
      <c r="CR29" s="4"/>
      <c r="CS29" s="4"/>
      <c r="CT29" s="4"/>
      <c r="CU29" s="4"/>
      <c r="CV29" s="4"/>
      <c r="CW29" s="4"/>
      <c r="CX29" s="4"/>
      <c r="CY29" s="4"/>
      <c r="CZ29" s="4"/>
      <c r="DA29" s="4"/>
      <c r="DB29" s="4"/>
      <c r="DC29" s="4"/>
      <c r="DD29" s="4"/>
      <c r="DE29" s="4"/>
      <c r="DF29" s="4"/>
      <c r="DG29" s="4"/>
      <c r="DH29" s="4"/>
      <c r="DI29" s="4"/>
      <c r="DJ29" s="4"/>
      <c r="DK29" s="4"/>
      <c r="DL29" s="4"/>
      <c r="DM29" s="4"/>
      <c r="DN29" s="4"/>
      <c r="DO29" s="4"/>
      <c r="DP29" s="4"/>
      <c r="DQ29" s="4"/>
      <c r="DR29" s="4"/>
      <c r="DS29" s="4"/>
      <c r="DT29" s="4"/>
      <c r="DU29" s="4"/>
      <c r="DV29" s="4"/>
      <c r="DW29" s="4"/>
      <c r="DX29" s="4"/>
      <c r="DY29" s="4"/>
      <c r="DZ29" s="4"/>
      <c r="EA29" s="4"/>
      <c r="EB29" s="4"/>
      <c r="EC29" s="4"/>
      <c r="ED29" s="4"/>
      <c r="EE29" s="4"/>
      <c r="EF29" s="4"/>
      <c r="EG29" s="4"/>
      <c r="EH29" s="4"/>
      <c r="EI29" s="4"/>
      <c r="EJ29" s="4"/>
    </row>
    <row r="30" spans="1:140" outlineLevel="3">
      <c r="A30" s="116"/>
      <c r="B30" s="116"/>
      <c r="C30" s="116">
        <v>4</v>
      </c>
      <c r="D30" s="3" t="s">
        <v>1083</v>
      </c>
      <c r="E30" s="184"/>
      <c r="F30" s="184"/>
      <c r="G30" s="184"/>
      <c r="H30" s="216" t="s">
        <v>1179</v>
      </c>
      <c r="I30" s="184"/>
      <c r="J30" s="184"/>
      <c r="K30" s="184"/>
      <c r="L30" s="184"/>
      <c r="M30" s="185">
        <v>44429</v>
      </c>
      <c r="N30" s="185">
        <v>44450</v>
      </c>
      <c r="O30" s="186"/>
      <c r="P30" s="187">
        <v>22</v>
      </c>
      <c r="Q30" s="187">
        <v>22</v>
      </c>
      <c r="R30" s="188">
        <v>22</v>
      </c>
      <c r="S30" s="188">
        <v>22</v>
      </c>
      <c r="T30" s="185"/>
      <c r="U30" s="185"/>
      <c r="V30" s="189"/>
      <c r="W30" s="190">
        <v>0</v>
      </c>
      <c r="X30" s="191">
        <v>1</v>
      </c>
      <c r="Y30" s="186"/>
      <c r="Z30" s="192"/>
      <c r="AA30" s="97">
        <v>1</v>
      </c>
      <c r="AB30" s="193">
        <v>1</v>
      </c>
      <c r="AC30" s="123"/>
      <c r="AD30" s="4"/>
      <c r="AE30" s="4"/>
      <c r="AF30" s="4"/>
      <c r="AG30" s="4"/>
      <c r="AH30" s="4"/>
      <c r="AI30" s="4"/>
      <c r="AJ30" s="4"/>
      <c r="AK30" s="4"/>
      <c r="AL30" s="4" t="str">
        <f>"" &amp; TEXT(AB30,"#0.00%") &amp; " " &amp; "데이터베이스" &amp; " " &amp; IF(M30="","",TEXT(M30,"M/D-")) &amp; IF(N30="","",TEXT(N30,"M/D")) &amp; " "</f>
        <v xml:space="preserve">100.00% 데이터베이스 8/21-9/11 </v>
      </c>
      <c r="AM30" s="4"/>
      <c r="AN30" s="4"/>
      <c r="AO30" s="4"/>
      <c r="AP30" s="4"/>
      <c r="AQ30" s="4"/>
      <c r="AR30" s="4"/>
      <c r="AS30" s="4"/>
      <c r="AT30" s="4"/>
      <c r="AU30" s="4"/>
      <c r="AV30" s="4"/>
      <c r="AW30" s="4"/>
      <c r="AX30" s="4"/>
      <c r="AY30" s="4"/>
      <c r="AZ30" s="4"/>
      <c r="BA30" s="4"/>
      <c r="BB30" s="4"/>
      <c r="BC30" s="4"/>
      <c r="BD30" s="4"/>
      <c r="BE30" s="4"/>
      <c r="BF30" s="4"/>
      <c r="BG30" s="4"/>
      <c r="BH30" s="4"/>
      <c r="BI30" s="4"/>
      <c r="BJ30" s="4"/>
      <c r="BK30" s="4"/>
      <c r="BL30" s="4"/>
      <c r="BM30" s="4"/>
      <c r="BN30" s="4"/>
      <c r="BO30" s="4"/>
      <c r="BP30" s="4"/>
      <c r="BQ30" s="4"/>
      <c r="BR30" s="4"/>
      <c r="BS30" s="4"/>
      <c r="BT30" s="4"/>
      <c r="BU30" s="4"/>
      <c r="BV30" s="4"/>
      <c r="BW30" s="4"/>
      <c r="BX30" s="4"/>
      <c r="BY30" s="4"/>
      <c r="BZ30" s="4"/>
      <c r="CA30" s="4"/>
      <c r="CB30" s="4"/>
      <c r="CC30" s="4"/>
      <c r="CD30" s="4"/>
      <c r="CE30" s="4"/>
      <c r="CF30" s="4"/>
      <c r="CG30" s="4"/>
      <c r="CH30" s="4"/>
      <c r="CI30" s="4"/>
      <c r="CJ30" s="4"/>
      <c r="CK30" s="4"/>
      <c r="CL30" s="4"/>
      <c r="CM30" s="4"/>
      <c r="CN30" s="4"/>
      <c r="CO30" s="4"/>
      <c r="CP30" s="4"/>
      <c r="CQ30" s="4"/>
      <c r="CR30" s="4"/>
      <c r="CS30" s="4"/>
      <c r="CT30" s="4"/>
      <c r="CU30" s="4"/>
      <c r="CV30" s="4"/>
      <c r="CW30" s="4"/>
      <c r="CX30" s="4"/>
      <c r="CY30" s="4"/>
      <c r="CZ30" s="4"/>
      <c r="DA30" s="4"/>
      <c r="DB30" s="4"/>
      <c r="DC30" s="4"/>
      <c r="DD30" s="4"/>
      <c r="DE30" s="4"/>
      <c r="DF30" s="4"/>
      <c r="DG30" s="4"/>
      <c r="DH30" s="4"/>
      <c r="DI30" s="4"/>
      <c r="DJ30" s="4"/>
      <c r="DK30" s="4"/>
      <c r="DL30" s="4"/>
      <c r="DM30" s="4"/>
      <c r="DN30" s="4"/>
      <c r="DO30" s="4"/>
      <c r="DP30" s="4"/>
      <c r="DQ30" s="4"/>
      <c r="DR30" s="4"/>
      <c r="DS30" s="4"/>
      <c r="DT30" s="4"/>
      <c r="DU30" s="4"/>
      <c r="DV30" s="4"/>
      <c r="DW30" s="4"/>
      <c r="DX30" s="4"/>
      <c r="DY30" s="4"/>
      <c r="DZ30" s="4"/>
      <c r="EA30" s="4"/>
      <c r="EB30" s="4"/>
      <c r="EC30" s="4"/>
      <c r="ED30" s="4"/>
      <c r="EE30" s="4"/>
      <c r="EF30" s="4"/>
      <c r="EG30" s="4"/>
      <c r="EH30" s="4"/>
      <c r="EI30" s="4"/>
      <c r="EJ30" s="4"/>
    </row>
    <row r="31" spans="1:140" outlineLevel="3">
      <c r="A31" s="116"/>
      <c r="B31" s="116"/>
      <c r="C31" s="116">
        <v>4</v>
      </c>
      <c r="D31" s="3" t="s">
        <v>1183</v>
      </c>
      <c r="E31" s="184"/>
      <c r="F31" s="184"/>
      <c r="G31" s="184"/>
      <c r="H31" s="218" t="s">
        <v>1180</v>
      </c>
      <c r="I31" s="184"/>
      <c r="J31" s="184"/>
      <c r="K31" s="184"/>
      <c r="L31" s="184"/>
      <c r="M31" s="185">
        <v>44429</v>
      </c>
      <c r="N31" s="185">
        <v>44471</v>
      </c>
      <c r="O31" s="186"/>
      <c r="P31" s="187">
        <v>43</v>
      </c>
      <c r="Q31" s="187">
        <v>36</v>
      </c>
      <c r="R31" s="188">
        <v>43</v>
      </c>
      <c r="S31" s="188">
        <v>36</v>
      </c>
      <c r="T31" s="185"/>
      <c r="U31" s="185"/>
      <c r="V31" s="189"/>
      <c r="W31" s="190">
        <v>0</v>
      </c>
      <c r="X31" s="191">
        <v>1</v>
      </c>
      <c r="Y31" s="186"/>
      <c r="Z31" s="192"/>
      <c r="AA31" s="97">
        <v>0.83720930232558144</v>
      </c>
      <c r="AB31" s="193">
        <v>1</v>
      </c>
      <c r="AC31" s="123"/>
      <c r="AD31" s="4"/>
      <c r="AE31" s="4"/>
      <c r="AF31" s="4"/>
      <c r="AG31" s="4"/>
      <c r="AH31" s="4"/>
      <c r="AI31" s="4"/>
      <c r="AJ31" s="4"/>
      <c r="AK31" s="4"/>
      <c r="AL31" s="4"/>
      <c r="AM31" s="4"/>
      <c r="AN31" s="4"/>
      <c r="AO31" s="4" t="str">
        <f>"" &amp; TEXT(AB31,"#0.00%") &amp; " " &amp; "서버" &amp; " " &amp; IF(M31="","",TEXT(M31,"M/D-")) &amp; IF(N31="","",TEXT(N31,"M/D")) &amp; " "</f>
        <v xml:space="preserve">100.00% 서버 8/21-10/2 </v>
      </c>
      <c r="AP31" s="4"/>
      <c r="AQ31" s="4"/>
      <c r="AR31" s="4"/>
      <c r="AS31" s="4"/>
      <c r="AT31" s="4"/>
      <c r="AU31" s="4"/>
      <c r="AV31" s="4"/>
      <c r="AW31" s="4"/>
      <c r="AX31" s="4"/>
      <c r="AY31" s="4"/>
      <c r="AZ31" s="4"/>
      <c r="BA31" s="4"/>
      <c r="BB31" s="4"/>
      <c r="BC31" s="4"/>
      <c r="BD31" s="4"/>
      <c r="BE31" s="4"/>
      <c r="BF31" s="4"/>
      <c r="BG31" s="4"/>
      <c r="BH31" s="4"/>
      <c r="BI31" s="4"/>
      <c r="BJ31" s="4"/>
      <c r="BK31" s="4"/>
      <c r="BL31" s="4"/>
      <c r="BM31" s="4"/>
      <c r="BN31" s="4"/>
      <c r="BO31" s="4"/>
      <c r="BP31" s="4"/>
      <c r="BQ31" s="4"/>
      <c r="BR31" s="4"/>
      <c r="BS31" s="4"/>
      <c r="BT31" s="4"/>
      <c r="BU31" s="4"/>
      <c r="BV31" s="4"/>
      <c r="BW31" s="4"/>
      <c r="BX31" s="4"/>
      <c r="BY31" s="4"/>
      <c r="BZ31" s="4"/>
      <c r="CA31" s="4"/>
      <c r="CB31" s="4"/>
      <c r="CC31" s="4"/>
      <c r="CD31" s="4"/>
      <c r="CE31" s="4"/>
      <c r="CF31" s="4"/>
      <c r="CG31" s="4"/>
      <c r="CH31" s="4"/>
      <c r="CI31" s="4"/>
      <c r="CJ31" s="4"/>
      <c r="CK31" s="4"/>
      <c r="CL31" s="4"/>
      <c r="CM31" s="4"/>
      <c r="CN31" s="4"/>
      <c r="CO31" s="4"/>
      <c r="CP31" s="4"/>
      <c r="CQ31" s="4"/>
      <c r="CR31" s="4"/>
      <c r="CS31" s="4"/>
      <c r="CT31" s="4"/>
      <c r="CU31" s="4"/>
      <c r="CV31" s="4"/>
      <c r="CW31" s="4"/>
      <c r="CX31" s="4"/>
      <c r="CY31" s="4"/>
      <c r="CZ31" s="4"/>
      <c r="DA31" s="4"/>
      <c r="DB31" s="4"/>
      <c r="DC31" s="4"/>
      <c r="DD31" s="4"/>
      <c r="DE31" s="4"/>
      <c r="DF31" s="4"/>
      <c r="DG31" s="4"/>
      <c r="DH31" s="4"/>
      <c r="DI31" s="4"/>
      <c r="DJ31" s="4"/>
      <c r="DK31" s="4"/>
      <c r="DL31" s="4"/>
      <c r="DM31" s="4"/>
      <c r="DN31" s="4"/>
      <c r="DO31" s="4"/>
      <c r="DP31" s="4"/>
      <c r="DQ31" s="4"/>
      <c r="DR31" s="4"/>
      <c r="DS31" s="4"/>
      <c r="DT31" s="4"/>
      <c r="DU31" s="4"/>
      <c r="DV31" s="4"/>
      <c r="DW31" s="4"/>
      <c r="DX31" s="4"/>
      <c r="DY31" s="4"/>
      <c r="DZ31" s="4"/>
      <c r="EA31" s="4"/>
      <c r="EB31" s="4"/>
      <c r="EC31" s="4"/>
      <c r="ED31" s="4"/>
      <c r="EE31" s="4"/>
      <c r="EF31" s="4"/>
      <c r="EG31" s="4"/>
      <c r="EH31" s="4"/>
      <c r="EI31" s="4"/>
      <c r="EJ31" s="4"/>
    </row>
    <row r="32" spans="1:140" outlineLevel="2">
      <c r="A32" s="116"/>
      <c r="B32" s="116" t="s">
        <v>1071</v>
      </c>
      <c r="C32" s="116">
        <v>3</v>
      </c>
      <c r="D32" s="3" t="s">
        <v>1084</v>
      </c>
      <c r="E32" s="184"/>
      <c r="F32" s="184"/>
      <c r="G32" s="216" t="s">
        <v>1182</v>
      </c>
      <c r="H32" s="184"/>
      <c r="I32" s="184"/>
      <c r="J32" s="184"/>
      <c r="K32" s="184"/>
      <c r="L32" s="184"/>
      <c r="M32" s="185">
        <v>44429</v>
      </c>
      <c r="N32" s="185">
        <v>44471</v>
      </c>
      <c r="O32" s="186"/>
      <c r="P32" s="187">
        <v>180</v>
      </c>
      <c r="Q32" s="187">
        <v>145</v>
      </c>
      <c r="R32" s="188">
        <v>43</v>
      </c>
      <c r="S32" s="188">
        <v>36</v>
      </c>
      <c r="T32" s="185"/>
      <c r="U32" s="185"/>
      <c r="V32" s="189">
        <v>0</v>
      </c>
      <c r="W32" s="190">
        <v>0</v>
      </c>
      <c r="X32" s="191"/>
      <c r="Y32" s="186"/>
      <c r="Z32" s="192"/>
      <c r="AA32" s="97">
        <v>0.80555555555555558</v>
      </c>
      <c r="AB32" s="193">
        <v>0.9555555555555556</v>
      </c>
      <c r="AC32" s="123"/>
      <c r="AD32" s="4"/>
      <c r="AE32" s="4"/>
      <c r="AF32" s="4"/>
      <c r="AG32" s="4"/>
      <c r="AH32" s="4"/>
      <c r="AI32" s="4"/>
      <c r="AJ32" s="4"/>
      <c r="AK32" s="4"/>
      <c r="AL32" s="4"/>
      <c r="AM32" s="4"/>
      <c r="AN32" s="4" t="str">
        <f>"     " &amp; TEXT(AB32,"#0.00%") &amp; " " &amp; "기구 및 모터 제어" &amp; " " &amp; IF(M32="","",TEXT(M32,"M/D-")) &amp; IF(N32="","",TEXT(N32,"M/D")) &amp; " "</f>
        <v xml:space="preserve">     95.56% 기구 및 모터 제어 8/21-10/2 </v>
      </c>
      <c r="AO32" s="4"/>
      <c r="AP32" s="4"/>
      <c r="AQ32" s="4"/>
      <c r="AR32" s="4"/>
      <c r="AS32" s="4"/>
      <c r="AT32" s="4"/>
      <c r="AU32" s="4"/>
      <c r="AV32" s="4"/>
      <c r="AW32" s="4"/>
      <c r="AX32" s="4"/>
      <c r="AY32" s="4"/>
      <c r="AZ32" s="4"/>
      <c r="BA32" s="4"/>
      <c r="BB32" s="4"/>
      <c r="BC32" s="4"/>
      <c r="BD32" s="4"/>
      <c r="BE32" s="4"/>
      <c r="BF32" s="4"/>
      <c r="BG32" s="4"/>
      <c r="BH32" s="4"/>
      <c r="BI32" s="4"/>
      <c r="BJ32" s="4"/>
      <c r="BK32" s="4"/>
      <c r="BL32" s="4"/>
      <c r="BM32" s="4"/>
      <c r="BN32" s="4"/>
      <c r="BO32" s="4"/>
      <c r="BP32" s="4"/>
      <c r="BQ32" s="4"/>
      <c r="BR32" s="4"/>
      <c r="BS32" s="4"/>
      <c r="BT32" s="4"/>
      <c r="BU32" s="4"/>
      <c r="BV32" s="4"/>
      <c r="BW32" s="4"/>
      <c r="BX32" s="4"/>
      <c r="BY32" s="4"/>
      <c r="BZ32" s="4"/>
      <c r="CA32" s="4"/>
      <c r="CB32" s="4"/>
      <c r="CC32" s="4"/>
      <c r="CD32" s="4"/>
      <c r="CE32" s="4"/>
      <c r="CF32" s="4"/>
      <c r="CG32" s="4"/>
      <c r="CH32" s="4"/>
      <c r="CI32" s="4"/>
      <c r="CJ32" s="4"/>
      <c r="CK32" s="4"/>
      <c r="CL32" s="4"/>
      <c r="CM32" s="4"/>
      <c r="CN32" s="4"/>
      <c r="CO32" s="4"/>
      <c r="CP32" s="4"/>
      <c r="CQ32" s="4"/>
      <c r="CR32" s="4"/>
      <c r="CS32" s="4"/>
      <c r="CT32" s="4"/>
      <c r="CU32" s="4"/>
      <c r="CV32" s="4"/>
      <c r="CW32" s="4"/>
      <c r="CX32" s="4"/>
      <c r="CY32" s="4"/>
      <c r="CZ32" s="4"/>
      <c r="DA32" s="4"/>
      <c r="DB32" s="4"/>
      <c r="DC32" s="4"/>
      <c r="DD32" s="4"/>
      <c r="DE32" s="4"/>
      <c r="DF32" s="4"/>
      <c r="DG32" s="4"/>
      <c r="DH32" s="4"/>
      <c r="DI32" s="4"/>
      <c r="DJ32" s="4"/>
      <c r="DK32" s="4"/>
      <c r="DL32" s="4"/>
      <c r="DM32" s="4"/>
      <c r="DN32" s="4"/>
      <c r="DO32" s="4"/>
      <c r="DP32" s="4"/>
      <c r="DQ32" s="4"/>
      <c r="DR32" s="4"/>
      <c r="DS32" s="4"/>
      <c r="DT32" s="4"/>
      <c r="DU32" s="4"/>
      <c r="DV32" s="4"/>
      <c r="DW32" s="4"/>
      <c r="DX32" s="4"/>
      <c r="DY32" s="4"/>
      <c r="DZ32" s="4"/>
      <c r="EA32" s="4"/>
      <c r="EB32" s="4"/>
      <c r="EC32" s="4"/>
      <c r="ED32" s="4"/>
      <c r="EE32" s="4"/>
      <c r="EF32" s="4"/>
      <c r="EG32" s="4"/>
      <c r="EH32" s="4"/>
      <c r="EI32" s="4"/>
      <c r="EJ32" s="4"/>
    </row>
    <row r="33" spans="1:140" outlineLevel="3">
      <c r="A33" s="116"/>
      <c r="B33" s="116" t="s">
        <v>1071</v>
      </c>
      <c r="C33" s="116">
        <v>4</v>
      </c>
      <c r="D33" s="3" t="s">
        <v>1030</v>
      </c>
      <c r="E33" s="184"/>
      <c r="F33" s="184"/>
      <c r="G33" s="184"/>
      <c r="H33" s="184" t="s">
        <v>1181</v>
      </c>
      <c r="I33" s="184"/>
      <c r="J33" s="184"/>
      <c r="K33" s="184"/>
      <c r="L33" s="184"/>
      <c r="M33" s="185">
        <v>44429</v>
      </c>
      <c r="N33" s="185">
        <v>44471</v>
      </c>
      <c r="O33" s="186"/>
      <c r="P33" s="187">
        <v>172</v>
      </c>
      <c r="Q33" s="187">
        <v>144</v>
      </c>
      <c r="R33" s="188">
        <v>43</v>
      </c>
      <c r="S33" s="188">
        <v>36</v>
      </c>
      <c r="T33" s="185"/>
      <c r="U33" s="185"/>
      <c r="V33" s="189">
        <v>0</v>
      </c>
      <c r="W33" s="190">
        <v>0</v>
      </c>
      <c r="X33" s="191"/>
      <c r="Y33" s="186"/>
      <c r="Z33" s="192"/>
      <c r="AA33" s="97">
        <v>0.83720930232558144</v>
      </c>
      <c r="AB33" s="193">
        <v>1</v>
      </c>
      <c r="AC33" s="123"/>
      <c r="AD33" s="4"/>
      <c r="AE33" s="4"/>
      <c r="AF33" s="4"/>
      <c r="AG33" s="4"/>
      <c r="AH33" s="4"/>
      <c r="AI33" s="4"/>
      <c r="AJ33" s="4"/>
      <c r="AK33" s="4"/>
      <c r="AL33" s="4"/>
      <c r="AM33" s="4"/>
      <c r="AN33" s="4"/>
      <c r="AO33" s="4" t="str">
        <f>"" &amp; TEXT(AB33,"#0.00%") &amp; " " &amp; "Pi" &amp; " " &amp; IF(M33="","",TEXT(M33,"M/D-")) &amp; IF(N33="","",TEXT(N33,"M/D")) &amp; " "</f>
        <v xml:space="preserve">100.00% Pi 8/21-10/2 </v>
      </c>
      <c r="AP33" s="4"/>
      <c r="AQ33" s="4"/>
      <c r="AR33" s="4"/>
      <c r="AS33" s="4"/>
      <c r="AT33" s="4"/>
      <c r="AU33" s="4"/>
      <c r="AV33" s="4"/>
      <c r="AW33" s="4"/>
      <c r="AX33" s="4"/>
      <c r="AY33" s="4"/>
      <c r="AZ33" s="4"/>
      <c r="BA33" s="4"/>
      <c r="BB33" s="4"/>
      <c r="BC33" s="4"/>
      <c r="BD33" s="4"/>
      <c r="BE33" s="4"/>
      <c r="BF33" s="4"/>
      <c r="BG33" s="4"/>
      <c r="BH33" s="4"/>
      <c r="BI33" s="4"/>
      <c r="BJ33" s="4"/>
      <c r="BK33" s="4"/>
      <c r="BL33" s="4"/>
      <c r="BM33" s="4"/>
      <c r="BN33" s="4"/>
      <c r="BO33" s="4"/>
      <c r="BP33" s="4"/>
      <c r="BQ33" s="4"/>
      <c r="BR33" s="4"/>
      <c r="BS33" s="4"/>
      <c r="BT33" s="4"/>
      <c r="BU33" s="4"/>
      <c r="BV33" s="4"/>
      <c r="BW33" s="4"/>
      <c r="BX33" s="4"/>
      <c r="BY33" s="4"/>
      <c r="BZ33" s="4"/>
      <c r="CA33" s="4"/>
      <c r="CB33" s="4"/>
      <c r="CC33" s="4"/>
      <c r="CD33" s="4"/>
      <c r="CE33" s="4"/>
      <c r="CF33" s="4"/>
      <c r="CG33" s="4"/>
      <c r="CH33" s="4"/>
      <c r="CI33" s="4"/>
      <c r="CJ33" s="4"/>
      <c r="CK33" s="4"/>
      <c r="CL33" s="4"/>
      <c r="CM33" s="4"/>
      <c r="CN33" s="4"/>
      <c r="CO33" s="4"/>
      <c r="CP33" s="4"/>
      <c r="CQ33" s="4"/>
      <c r="CR33" s="4"/>
      <c r="CS33" s="4"/>
      <c r="CT33" s="4"/>
      <c r="CU33" s="4"/>
      <c r="CV33" s="4"/>
      <c r="CW33" s="4"/>
      <c r="CX33" s="4"/>
      <c r="CY33" s="4"/>
      <c r="CZ33" s="4"/>
      <c r="DA33" s="4"/>
      <c r="DB33" s="4"/>
      <c r="DC33" s="4"/>
      <c r="DD33" s="4"/>
      <c r="DE33" s="4"/>
      <c r="DF33" s="4"/>
      <c r="DG33" s="4"/>
      <c r="DH33" s="4"/>
      <c r="DI33" s="4"/>
      <c r="DJ33" s="4"/>
      <c r="DK33" s="4"/>
      <c r="DL33" s="4"/>
      <c r="DM33" s="4"/>
      <c r="DN33" s="4"/>
      <c r="DO33" s="4"/>
      <c r="DP33" s="4"/>
      <c r="DQ33" s="4"/>
      <c r="DR33" s="4"/>
      <c r="DS33" s="4"/>
      <c r="DT33" s="4"/>
      <c r="DU33" s="4"/>
      <c r="DV33" s="4"/>
      <c r="DW33" s="4"/>
      <c r="DX33" s="4"/>
      <c r="DY33" s="4"/>
      <c r="DZ33" s="4"/>
      <c r="EA33" s="4"/>
      <c r="EB33" s="4"/>
      <c r="EC33" s="4"/>
      <c r="ED33" s="4"/>
      <c r="EE33" s="4"/>
      <c r="EF33" s="4"/>
      <c r="EG33" s="4"/>
      <c r="EH33" s="4"/>
      <c r="EI33" s="4"/>
      <c r="EJ33" s="4"/>
    </row>
    <row r="34" spans="1:140" outlineLevel="4">
      <c r="A34" s="116"/>
      <c r="B34" s="116"/>
      <c r="C34" s="116">
        <v>5</v>
      </c>
      <c r="D34" s="3" t="s">
        <v>1197</v>
      </c>
      <c r="E34" s="184"/>
      <c r="F34" s="184"/>
      <c r="G34" s="184"/>
      <c r="H34" s="184"/>
      <c r="I34" s="218" t="s">
        <v>1194</v>
      </c>
      <c r="J34" s="184"/>
      <c r="K34" s="184"/>
      <c r="L34" s="184"/>
      <c r="M34" s="185">
        <v>44429</v>
      </c>
      <c r="N34" s="185">
        <v>44471</v>
      </c>
      <c r="O34" s="186"/>
      <c r="P34" s="187">
        <v>43</v>
      </c>
      <c r="Q34" s="187">
        <v>36</v>
      </c>
      <c r="R34" s="188">
        <v>43</v>
      </c>
      <c r="S34" s="188">
        <v>36</v>
      </c>
      <c r="T34" s="185"/>
      <c r="U34" s="185"/>
      <c r="V34" s="189"/>
      <c r="W34" s="190">
        <v>0</v>
      </c>
      <c r="X34" s="191">
        <v>1</v>
      </c>
      <c r="Y34" s="186"/>
      <c r="Z34" s="192"/>
      <c r="AA34" s="97">
        <v>0.83720930232558144</v>
      </c>
      <c r="AB34" s="193">
        <v>1</v>
      </c>
      <c r="AC34" s="123"/>
      <c r="AD34" s="4"/>
      <c r="AE34" s="4"/>
      <c r="AF34" s="4"/>
      <c r="AG34" s="4"/>
      <c r="AH34" s="4"/>
      <c r="AI34" s="4"/>
      <c r="AJ34" s="4"/>
      <c r="AK34" s="4"/>
      <c r="AL34" s="4"/>
      <c r="AM34" s="4"/>
      <c r="AN34" s="4"/>
      <c r="AO34" s="4" t="str">
        <f>"" &amp; TEXT(AB34,"#0.00%") &amp; " " &amp; "컨베이어 제어" &amp; " " &amp; IF(M34="","",TEXT(M34,"M/D-")) &amp; IF(N34="","",TEXT(N34,"M/D")) &amp; " "</f>
        <v xml:space="preserve">100.00% 컨베이어 제어 8/21-10/2 </v>
      </c>
      <c r="AP34" s="4"/>
      <c r="AQ34" s="4"/>
      <c r="AR34" s="4"/>
      <c r="AS34" s="4"/>
      <c r="AT34" s="4"/>
      <c r="AU34" s="4"/>
      <c r="AV34" s="4"/>
      <c r="AW34" s="4"/>
      <c r="AX34" s="4"/>
      <c r="AY34" s="4"/>
      <c r="AZ34" s="4"/>
      <c r="BA34" s="4"/>
      <c r="BB34" s="4"/>
      <c r="BC34" s="4"/>
      <c r="BD34" s="4"/>
      <c r="BE34" s="4"/>
      <c r="BF34" s="4"/>
      <c r="BG34" s="4"/>
      <c r="BH34" s="4"/>
      <c r="BI34" s="4"/>
      <c r="BJ34" s="4"/>
      <c r="BK34" s="4"/>
      <c r="BL34" s="4"/>
      <c r="BM34" s="4"/>
      <c r="BN34" s="4"/>
      <c r="BO34" s="4"/>
      <c r="BP34" s="4"/>
      <c r="BQ34" s="4"/>
      <c r="BR34" s="4"/>
      <c r="BS34" s="4"/>
      <c r="BT34" s="4"/>
      <c r="BU34" s="4"/>
      <c r="BV34" s="4"/>
      <c r="BW34" s="4"/>
      <c r="BX34" s="4"/>
      <c r="BY34" s="4"/>
      <c r="BZ34" s="4"/>
      <c r="CA34" s="4"/>
      <c r="CB34" s="4"/>
      <c r="CC34" s="4"/>
      <c r="CD34" s="4"/>
      <c r="CE34" s="4"/>
      <c r="CF34" s="4"/>
      <c r="CG34" s="4"/>
      <c r="CH34" s="4"/>
      <c r="CI34" s="4"/>
      <c r="CJ34" s="4"/>
      <c r="CK34" s="4"/>
      <c r="CL34" s="4"/>
      <c r="CM34" s="4"/>
      <c r="CN34" s="4"/>
      <c r="CO34" s="4"/>
      <c r="CP34" s="4"/>
      <c r="CQ34" s="4"/>
      <c r="CR34" s="4"/>
      <c r="CS34" s="4"/>
      <c r="CT34" s="4"/>
      <c r="CU34" s="4"/>
      <c r="CV34" s="4"/>
      <c r="CW34" s="4"/>
      <c r="CX34" s="4"/>
      <c r="CY34" s="4"/>
      <c r="CZ34" s="4"/>
      <c r="DA34" s="4"/>
      <c r="DB34" s="4"/>
      <c r="DC34" s="4"/>
      <c r="DD34" s="4"/>
      <c r="DE34" s="4"/>
      <c r="DF34" s="4"/>
      <c r="DG34" s="4"/>
      <c r="DH34" s="4"/>
      <c r="DI34" s="4"/>
      <c r="DJ34" s="4"/>
      <c r="DK34" s="4"/>
      <c r="DL34" s="4"/>
      <c r="DM34" s="4"/>
      <c r="DN34" s="4"/>
      <c r="DO34" s="4"/>
      <c r="DP34" s="4"/>
      <c r="DQ34" s="4"/>
      <c r="DR34" s="4"/>
      <c r="DS34" s="4"/>
      <c r="DT34" s="4"/>
      <c r="DU34" s="4"/>
      <c r="DV34" s="4"/>
      <c r="DW34" s="4"/>
      <c r="DX34" s="4"/>
      <c r="DY34" s="4"/>
      <c r="DZ34" s="4"/>
      <c r="EA34" s="4"/>
      <c r="EB34" s="4"/>
      <c r="EC34" s="4"/>
      <c r="ED34" s="4"/>
      <c r="EE34" s="4"/>
      <c r="EF34" s="4"/>
      <c r="EG34" s="4"/>
      <c r="EH34" s="4"/>
      <c r="EI34" s="4"/>
      <c r="EJ34" s="4"/>
    </row>
    <row r="35" spans="1:140" outlineLevel="4">
      <c r="A35" s="116"/>
      <c r="B35" s="116"/>
      <c r="C35" s="116">
        <v>5</v>
      </c>
      <c r="D35" s="3" t="s">
        <v>1198</v>
      </c>
      <c r="E35" s="184"/>
      <c r="F35" s="184"/>
      <c r="G35" s="184"/>
      <c r="H35" s="184"/>
      <c r="I35" s="218" t="s">
        <v>1195</v>
      </c>
      <c r="J35" s="184"/>
      <c r="K35" s="184"/>
      <c r="L35" s="184"/>
      <c r="M35" s="185">
        <v>44429</v>
      </c>
      <c r="N35" s="185">
        <v>44471</v>
      </c>
      <c r="O35" s="186"/>
      <c r="P35" s="187">
        <v>43</v>
      </c>
      <c r="Q35" s="187">
        <v>36</v>
      </c>
      <c r="R35" s="188">
        <v>43</v>
      </c>
      <c r="S35" s="188">
        <v>36</v>
      </c>
      <c r="T35" s="185"/>
      <c r="U35" s="185"/>
      <c r="V35" s="189"/>
      <c r="W35" s="190">
        <v>0</v>
      </c>
      <c r="X35" s="191">
        <v>1</v>
      </c>
      <c r="Y35" s="186"/>
      <c r="Z35" s="192"/>
      <c r="AA35" s="97">
        <v>0.83720930232558144</v>
      </c>
      <c r="AB35" s="193">
        <v>1</v>
      </c>
      <c r="AC35" s="123"/>
      <c r="AD35" s="4"/>
      <c r="AE35" s="4"/>
      <c r="AF35" s="4"/>
      <c r="AG35" s="4"/>
      <c r="AH35" s="4"/>
      <c r="AI35" s="4"/>
      <c r="AJ35" s="4"/>
      <c r="AK35" s="4"/>
      <c r="AL35" s="4"/>
      <c r="AM35" s="4"/>
      <c r="AN35" s="4"/>
      <c r="AO35" s="4" t="str">
        <f>"" &amp; TEXT(AB35,"#0.00%") &amp; " " &amp; "서보 모터 제어" &amp; " " &amp; IF(M35="","",TEXT(M35,"M/D-")) &amp; IF(N35="","",TEXT(N35,"M/D")) &amp; " "</f>
        <v xml:space="preserve">100.00% 서보 모터 제어 8/21-10/2 </v>
      </c>
      <c r="AP35" s="4"/>
      <c r="AQ35" s="4"/>
      <c r="AR35" s="4"/>
      <c r="AS35" s="4"/>
      <c r="AT35" s="4"/>
      <c r="AU35" s="4"/>
      <c r="AV35" s="4"/>
      <c r="AW35" s="4"/>
      <c r="AX35" s="4"/>
      <c r="AY35" s="4"/>
      <c r="AZ35" s="4"/>
      <c r="BA35" s="4"/>
      <c r="BB35" s="4"/>
      <c r="BC35" s="4"/>
      <c r="BD35" s="4"/>
      <c r="BE35" s="4"/>
      <c r="BF35" s="4"/>
      <c r="BG35" s="4"/>
      <c r="BH35" s="4"/>
      <c r="BI35" s="4"/>
      <c r="BJ35" s="4"/>
      <c r="BK35" s="4"/>
      <c r="BL35" s="4"/>
      <c r="BM35" s="4"/>
      <c r="BN35" s="4"/>
      <c r="BO35" s="4"/>
      <c r="BP35" s="4"/>
      <c r="BQ35" s="4"/>
      <c r="BR35" s="4"/>
      <c r="BS35" s="4"/>
      <c r="BT35" s="4"/>
      <c r="BU35" s="4"/>
      <c r="BV35" s="4"/>
      <c r="BW35" s="4"/>
      <c r="BX35" s="4"/>
      <c r="BY35" s="4"/>
      <c r="BZ35" s="4"/>
      <c r="CA35" s="4"/>
      <c r="CB35" s="4"/>
      <c r="CC35" s="4"/>
      <c r="CD35" s="4"/>
      <c r="CE35" s="4"/>
      <c r="CF35" s="4"/>
      <c r="CG35" s="4"/>
      <c r="CH35" s="4"/>
      <c r="CI35" s="4"/>
      <c r="CJ35" s="4"/>
      <c r="CK35" s="4"/>
      <c r="CL35" s="4"/>
      <c r="CM35" s="4"/>
      <c r="CN35" s="4"/>
      <c r="CO35" s="4"/>
      <c r="CP35" s="4"/>
      <c r="CQ35" s="4"/>
      <c r="CR35" s="4"/>
      <c r="CS35" s="4"/>
      <c r="CT35" s="4"/>
      <c r="CU35" s="4"/>
      <c r="CV35" s="4"/>
      <c r="CW35" s="4"/>
      <c r="CX35" s="4"/>
      <c r="CY35" s="4"/>
      <c r="CZ35" s="4"/>
      <c r="DA35" s="4"/>
      <c r="DB35" s="4"/>
      <c r="DC35" s="4"/>
      <c r="DD35" s="4"/>
      <c r="DE35" s="4"/>
      <c r="DF35" s="4"/>
      <c r="DG35" s="4"/>
      <c r="DH35" s="4"/>
      <c r="DI35" s="4"/>
      <c r="DJ35" s="4"/>
      <c r="DK35" s="4"/>
      <c r="DL35" s="4"/>
      <c r="DM35" s="4"/>
      <c r="DN35" s="4"/>
      <c r="DO35" s="4"/>
      <c r="DP35" s="4"/>
      <c r="DQ35" s="4"/>
      <c r="DR35" s="4"/>
      <c r="DS35" s="4"/>
      <c r="DT35" s="4"/>
      <c r="DU35" s="4"/>
      <c r="DV35" s="4"/>
      <c r="DW35" s="4"/>
      <c r="DX35" s="4"/>
      <c r="DY35" s="4"/>
      <c r="DZ35" s="4"/>
      <c r="EA35" s="4"/>
      <c r="EB35" s="4"/>
      <c r="EC35" s="4"/>
      <c r="ED35" s="4"/>
      <c r="EE35" s="4"/>
      <c r="EF35" s="4"/>
      <c r="EG35" s="4"/>
      <c r="EH35" s="4"/>
      <c r="EI35" s="4"/>
      <c r="EJ35" s="4"/>
    </row>
    <row r="36" spans="1:140" outlineLevel="4">
      <c r="A36" s="116"/>
      <c r="B36" s="116"/>
      <c r="C36" s="116">
        <v>5</v>
      </c>
      <c r="D36" s="3" t="s">
        <v>1199</v>
      </c>
      <c r="E36" s="184"/>
      <c r="F36" s="184"/>
      <c r="G36" s="184"/>
      <c r="H36" s="184"/>
      <c r="I36" s="218" t="s">
        <v>1196</v>
      </c>
      <c r="J36" s="184"/>
      <c r="K36" s="184"/>
      <c r="L36" s="184"/>
      <c r="M36" s="185">
        <v>44429</v>
      </c>
      <c r="N36" s="185">
        <v>44471</v>
      </c>
      <c r="O36" s="186"/>
      <c r="P36" s="187">
        <v>43</v>
      </c>
      <c r="Q36" s="187">
        <v>36</v>
      </c>
      <c r="R36" s="188">
        <v>43</v>
      </c>
      <c r="S36" s="188">
        <v>36</v>
      </c>
      <c r="T36" s="185"/>
      <c r="U36" s="185"/>
      <c r="V36" s="189"/>
      <c r="W36" s="190">
        <v>0</v>
      </c>
      <c r="X36" s="191">
        <v>1</v>
      </c>
      <c r="Y36" s="186"/>
      <c r="Z36" s="192"/>
      <c r="AA36" s="97">
        <v>0.83720930232558144</v>
      </c>
      <c r="AB36" s="193">
        <v>1</v>
      </c>
      <c r="AC36" s="123"/>
      <c r="AD36" s="4"/>
      <c r="AE36" s="4"/>
      <c r="AF36" s="4"/>
      <c r="AG36" s="4"/>
      <c r="AH36" s="4"/>
      <c r="AI36" s="4"/>
      <c r="AJ36" s="4"/>
      <c r="AK36" s="4"/>
      <c r="AL36" s="4"/>
      <c r="AM36" s="4"/>
      <c r="AN36" s="4"/>
      <c r="AO36" s="4" t="str">
        <f>"" &amp; TEXT(AB36,"#0.00%") &amp; " " &amp; "센서 상태 수신" &amp; " " &amp; IF(M36="","",TEXT(M36,"M/D-")) &amp; IF(N36="","",TEXT(N36,"M/D")) &amp; " "</f>
        <v xml:space="preserve">100.00% 센서 상태 수신 8/21-10/2 </v>
      </c>
      <c r="AP36" s="4"/>
      <c r="AQ36" s="4"/>
      <c r="AR36" s="4"/>
      <c r="AS36" s="4"/>
      <c r="AT36" s="4"/>
      <c r="AU36" s="4"/>
      <c r="AV36" s="4"/>
      <c r="AW36" s="4"/>
      <c r="AX36" s="4"/>
      <c r="AY36" s="4"/>
      <c r="AZ36" s="4"/>
      <c r="BA36" s="4"/>
      <c r="BB36" s="4"/>
      <c r="BC36" s="4"/>
      <c r="BD36" s="4"/>
      <c r="BE36" s="4"/>
      <c r="BF36" s="4"/>
      <c r="BG36" s="4"/>
      <c r="BH36" s="4"/>
      <c r="BI36" s="4"/>
      <c r="BJ36" s="4"/>
      <c r="BK36" s="4"/>
      <c r="BL36" s="4"/>
      <c r="BM36" s="4"/>
      <c r="BN36" s="4"/>
      <c r="BO36" s="4"/>
      <c r="BP36" s="4"/>
      <c r="BQ36" s="4"/>
      <c r="BR36" s="4"/>
      <c r="BS36" s="4"/>
      <c r="BT36" s="4"/>
      <c r="BU36" s="4"/>
      <c r="BV36" s="4"/>
      <c r="BW36" s="4"/>
      <c r="BX36" s="4"/>
      <c r="BY36" s="4"/>
      <c r="BZ36" s="4"/>
      <c r="CA36" s="4"/>
      <c r="CB36" s="4"/>
      <c r="CC36" s="4"/>
      <c r="CD36" s="4"/>
      <c r="CE36" s="4"/>
      <c r="CF36" s="4"/>
      <c r="CG36" s="4"/>
      <c r="CH36" s="4"/>
      <c r="CI36" s="4"/>
      <c r="CJ36" s="4"/>
      <c r="CK36" s="4"/>
      <c r="CL36" s="4"/>
      <c r="CM36" s="4"/>
      <c r="CN36" s="4"/>
      <c r="CO36" s="4"/>
      <c r="CP36" s="4"/>
      <c r="CQ36" s="4"/>
      <c r="CR36" s="4"/>
      <c r="CS36" s="4"/>
      <c r="CT36" s="4"/>
      <c r="CU36" s="4"/>
      <c r="CV36" s="4"/>
      <c r="CW36" s="4"/>
      <c r="CX36" s="4"/>
      <c r="CY36" s="4"/>
      <c r="CZ36" s="4"/>
      <c r="DA36" s="4"/>
      <c r="DB36" s="4"/>
      <c r="DC36" s="4"/>
      <c r="DD36" s="4"/>
      <c r="DE36" s="4"/>
      <c r="DF36" s="4"/>
      <c r="DG36" s="4"/>
      <c r="DH36" s="4"/>
      <c r="DI36" s="4"/>
      <c r="DJ36" s="4"/>
      <c r="DK36" s="4"/>
      <c r="DL36" s="4"/>
      <c r="DM36" s="4"/>
      <c r="DN36" s="4"/>
      <c r="DO36" s="4"/>
      <c r="DP36" s="4"/>
      <c r="DQ36" s="4"/>
      <c r="DR36" s="4"/>
      <c r="DS36" s="4"/>
      <c r="DT36" s="4"/>
      <c r="DU36" s="4"/>
      <c r="DV36" s="4"/>
      <c r="DW36" s="4"/>
      <c r="DX36" s="4"/>
      <c r="DY36" s="4"/>
      <c r="DZ36" s="4"/>
      <c r="EA36" s="4"/>
      <c r="EB36" s="4"/>
      <c r="EC36" s="4"/>
      <c r="ED36" s="4"/>
      <c r="EE36" s="4"/>
      <c r="EF36" s="4"/>
      <c r="EG36" s="4"/>
      <c r="EH36" s="4"/>
      <c r="EI36" s="4"/>
      <c r="EJ36" s="4"/>
    </row>
    <row r="37" spans="1:140" outlineLevel="4">
      <c r="A37" s="116"/>
      <c r="B37" s="116"/>
      <c r="C37" s="116">
        <v>5</v>
      </c>
      <c r="D37" s="3" t="s">
        <v>1200</v>
      </c>
      <c r="E37" s="184"/>
      <c r="F37" s="184"/>
      <c r="G37" s="184"/>
      <c r="H37" s="184"/>
      <c r="I37" s="218" t="s">
        <v>1191</v>
      </c>
      <c r="J37" s="184"/>
      <c r="K37" s="184"/>
      <c r="L37" s="184"/>
      <c r="M37" s="185">
        <v>44429</v>
      </c>
      <c r="N37" s="185">
        <v>44471</v>
      </c>
      <c r="O37" s="186"/>
      <c r="P37" s="187">
        <v>43</v>
      </c>
      <c r="Q37" s="187">
        <v>36</v>
      </c>
      <c r="R37" s="188">
        <v>43</v>
      </c>
      <c r="S37" s="188">
        <v>36</v>
      </c>
      <c r="T37" s="185"/>
      <c r="U37" s="185"/>
      <c r="V37" s="189"/>
      <c r="W37" s="190">
        <v>0</v>
      </c>
      <c r="X37" s="191">
        <v>1</v>
      </c>
      <c r="Y37" s="186"/>
      <c r="Z37" s="192"/>
      <c r="AA37" s="97">
        <v>0.83720930232558144</v>
      </c>
      <c r="AB37" s="193">
        <v>1</v>
      </c>
      <c r="AC37" s="123"/>
      <c r="AD37" s="4"/>
      <c r="AE37" s="4"/>
      <c r="AF37" s="4"/>
      <c r="AG37" s="4"/>
      <c r="AH37" s="4"/>
      <c r="AI37" s="4"/>
      <c r="AJ37" s="4"/>
      <c r="AK37" s="4"/>
      <c r="AL37" s="4"/>
      <c r="AM37" s="4"/>
      <c r="AN37" s="4"/>
      <c r="AO37" s="4" t="str">
        <f>"" &amp; TEXT(AB37,"#0.00%") &amp; " " &amp; "서버와 데이터 송수신 기능" &amp; " " &amp; IF(M37="","",TEXT(M37,"M/D-")) &amp; IF(N37="","",TEXT(N37,"M/D")) &amp; " "</f>
        <v xml:space="preserve">100.00% 서버와 데이터 송수신 기능 8/21-10/2 </v>
      </c>
      <c r="AP37" s="4"/>
      <c r="AQ37" s="4"/>
      <c r="AR37" s="4"/>
      <c r="AS37" s="4"/>
      <c r="AT37" s="4"/>
      <c r="AU37" s="4"/>
      <c r="AV37" s="4"/>
      <c r="AW37" s="4"/>
      <c r="AX37" s="4"/>
      <c r="AY37" s="4"/>
      <c r="AZ37" s="4"/>
      <c r="BA37" s="4"/>
      <c r="BB37" s="4"/>
      <c r="BC37" s="4"/>
      <c r="BD37" s="4"/>
      <c r="BE37" s="4"/>
      <c r="BF37" s="4"/>
      <c r="BG37" s="4"/>
      <c r="BH37" s="4"/>
      <c r="BI37" s="4"/>
      <c r="BJ37" s="4"/>
      <c r="BK37" s="4"/>
      <c r="BL37" s="4"/>
      <c r="BM37" s="4"/>
      <c r="BN37" s="4"/>
      <c r="BO37" s="4"/>
      <c r="BP37" s="4"/>
      <c r="BQ37" s="4"/>
      <c r="BR37" s="4"/>
      <c r="BS37" s="4"/>
      <c r="BT37" s="4"/>
      <c r="BU37" s="4"/>
      <c r="BV37" s="4"/>
      <c r="BW37" s="4"/>
      <c r="BX37" s="4"/>
      <c r="BY37" s="4"/>
      <c r="BZ37" s="4"/>
      <c r="CA37" s="4"/>
      <c r="CB37" s="4"/>
      <c r="CC37" s="4"/>
      <c r="CD37" s="4"/>
      <c r="CE37" s="4"/>
      <c r="CF37" s="4"/>
      <c r="CG37" s="4"/>
      <c r="CH37" s="4"/>
      <c r="CI37" s="4"/>
      <c r="CJ37" s="4"/>
      <c r="CK37" s="4"/>
      <c r="CL37" s="4"/>
      <c r="CM37" s="4"/>
      <c r="CN37" s="4"/>
      <c r="CO37" s="4"/>
      <c r="CP37" s="4"/>
      <c r="CQ37" s="4"/>
      <c r="CR37" s="4"/>
      <c r="CS37" s="4"/>
      <c r="CT37" s="4"/>
      <c r="CU37" s="4"/>
      <c r="CV37" s="4"/>
      <c r="CW37" s="4"/>
      <c r="CX37" s="4"/>
      <c r="CY37" s="4"/>
      <c r="CZ37" s="4"/>
      <c r="DA37" s="4"/>
      <c r="DB37" s="4"/>
      <c r="DC37" s="4"/>
      <c r="DD37" s="4"/>
      <c r="DE37" s="4"/>
      <c r="DF37" s="4"/>
      <c r="DG37" s="4"/>
      <c r="DH37" s="4"/>
      <c r="DI37" s="4"/>
      <c r="DJ37" s="4"/>
      <c r="DK37" s="4"/>
      <c r="DL37" s="4"/>
      <c r="DM37" s="4"/>
      <c r="DN37" s="4"/>
      <c r="DO37" s="4"/>
      <c r="DP37" s="4"/>
      <c r="DQ37" s="4"/>
      <c r="DR37" s="4"/>
      <c r="DS37" s="4"/>
      <c r="DT37" s="4"/>
      <c r="DU37" s="4"/>
      <c r="DV37" s="4"/>
      <c r="DW37" s="4"/>
      <c r="DX37" s="4"/>
      <c r="DY37" s="4"/>
      <c r="DZ37" s="4"/>
      <c r="EA37" s="4"/>
      <c r="EB37" s="4"/>
      <c r="EC37" s="4"/>
      <c r="ED37" s="4"/>
      <c r="EE37" s="4"/>
      <c r="EF37" s="4"/>
      <c r="EG37" s="4"/>
      <c r="EH37" s="4"/>
      <c r="EI37" s="4"/>
      <c r="EJ37" s="4"/>
    </row>
    <row r="38" spans="1:140" outlineLevel="3">
      <c r="A38" s="116"/>
      <c r="B38" s="116"/>
      <c r="C38" s="116">
        <v>4</v>
      </c>
      <c r="D38" s="3" t="s">
        <v>1032</v>
      </c>
      <c r="E38" s="184"/>
      <c r="F38" s="184"/>
      <c r="G38" s="184"/>
      <c r="H38" s="217" t="s">
        <v>1184</v>
      </c>
      <c r="I38" s="184"/>
      <c r="J38" s="184"/>
      <c r="K38" s="184"/>
      <c r="L38" s="184"/>
      <c r="M38" s="185">
        <v>44464</v>
      </c>
      <c r="N38" s="185">
        <v>44471</v>
      </c>
      <c r="O38" s="186"/>
      <c r="P38" s="187">
        <v>8</v>
      </c>
      <c r="Q38" s="187">
        <v>1</v>
      </c>
      <c r="R38" s="188">
        <v>8</v>
      </c>
      <c r="S38" s="188">
        <v>1</v>
      </c>
      <c r="T38" s="185"/>
      <c r="U38" s="185"/>
      <c r="V38" s="189"/>
      <c r="W38" s="190">
        <v>0</v>
      </c>
      <c r="X38" s="191">
        <v>1</v>
      </c>
      <c r="Y38" s="186"/>
      <c r="Z38" s="192"/>
      <c r="AA38" s="97">
        <v>0.125</v>
      </c>
      <c r="AB38" s="193">
        <v>0</v>
      </c>
      <c r="AC38" s="123"/>
      <c r="AD38" s="4"/>
      <c r="AE38" s="4"/>
      <c r="AF38" s="4"/>
      <c r="AG38" s="4"/>
      <c r="AH38" s="4"/>
      <c r="AI38" s="4"/>
      <c r="AJ38" s="4"/>
      <c r="AK38" s="4"/>
      <c r="AL38" s="4"/>
      <c r="AM38" s="4" t="str">
        <f>"      " &amp; TEXT(AB38,"#0.00%") &amp; " " &amp; "컨베이어 및 카메라 거치대 제작" &amp; " " &amp; IF(M38="","",TEXT(M38,"M/D-")) &amp; IF(N38="","",TEXT(N38,"M/D")) &amp; " "</f>
        <v xml:space="preserve">      0.00% 컨베이어 및 카메라 거치대 제작 9/25-10/2 </v>
      </c>
      <c r="AN38" s="4"/>
      <c r="AO38" s="4"/>
      <c r="AP38" s="4"/>
      <c r="AQ38" s="4"/>
      <c r="AR38" s="4"/>
      <c r="AS38" s="4"/>
      <c r="AT38" s="4"/>
      <c r="AU38" s="4"/>
      <c r="AV38" s="4"/>
      <c r="AW38" s="4"/>
      <c r="AX38" s="4"/>
      <c r="AY38" s="4"/>
      <c r="AZ38" s="4"/>
      <c r="BA38" s="4"/>
      <c r="BB38" s="4"/>
      <c r="BC38" s="4"/>
      <c r="BD38" s="4"/>
      <c r="BE38" s="4"/>
      <c r="BF38" s="4"/>
      <c r="BG38" s="4"/>
      <c r="BH38" s="4"/>
      <c r="BI38" s="4"/>
      <c r="BJ38" s="4"/>
      <c r="BK38" s="4"/>
      <c r="BL38" s="4"/>
      <c r="BM38" s="4"/>
      <c r="BN38" s="4"/>
      <c r="BO38" s="4"/>
      <c r="BP38" s="4"/>
      <c r="BQ38" s="4"/>
      <c r="BR38" s="4"/>
      <c r="BS38" s="4"/>
      <c r="BT38" s="4"/>
      <c r="BU38" s="4"/>
      <c r="BV38" s="4"/>
      <c r="BW38" s="4"/>
      <c r="BX38" s="4"/>
      <c r="BY38" s="4"/>
      <c r="BZ38" s="4"/>
      <c r="CA38" s="4"/>
      <c r="CB38" s="4"/>
      <c r="CC38" s="4"/>
      <c r="CD38" s="4"/>
      <c r="CE38" s="4"/>
      <c r="CF38" s="4"/>
      <c r="CG38" s="4"/>
      <c r="CH38" s="4"/>
      <c r="CI38" s="4"/>
      <c r="CJ38" s="4"/>
      <c r="CK38" s="4"/>
      <c r="CL38" s="4"/>
      <c r="CM38" s="4"/>
      <c r="CN38" s="4"/>
      <c r="CO38" s="4"/>
      <c r="CP38" s="4"/>
      <c r="CQ38" s="4"/>
      <c r="CR38" s="4"/>
      <c r="CS38" s="4"/>
      <c r="CT38" s="4"/>
      <c r="CU38" s="4"/>
      <c r="CV38" s="4"/>
      <c r="CW38" s="4"/>
      <c r="CX38" s="4"/>
      <c r="CY38" s="4"/>
      <c r="CZ38" s="4"/>
      <c r="DA38" s="4"/>
      <c r="DB38" s="4"/>
      <c r="DC38" s="4"/>
      <c r="DD38" s="4"/>
      <c r="DE38" s="4"/>
      <c r="DF38" s="4"/>
      <c r="DG38" s="4"/>
      <c r="DH38" s="4"/>
      <c r="DI38" s="4"/>
      <c r="DJ38" s="4"/>
      <c r="DK38" s="4"/>
      <c r="DL38" s="4"/>
      <c r="DM38" s="4"/>
      <c r="DN38" s="4"/>
      <c r="DO38" s="4"/>
      <c r="DP38" s="4"/>
      <c r="DQ38" s="4"/>
      <c r="DR38" s="4"/>
      <c r="DS38" s="4"/>
      <c r="DT38" s="4"/>
      <c r="DU38" s="4"/>
      <c r="DV38" s="4"/>
      <c r="DW38" s="4"/>
      <c r="DX38" s="4"/>
      <c r="DY38" s="4"/>
      <c r="DZ38" s="4"/>
      <c r="EA38" s="4"/>
      <c r="EB38" s="4"/>
      <c r="EC38" s="4"/>
      <c r="ED38" s="4"/>
      <c r="EE38" s="4"/>
      <c r="EF38" s="4"/>
      <c r="EG38" s="4"/>
      <c r="EH38" s="4"/>
      <c r="EI38" s="4"/>
      <c r="EJ38" s="4"/>
    </row>
    <row r="39" spans="1:140" outlineLevel="1">
      <c r="A39" s="116"/>
      <c r="B39" s="116" t="s">
        <v>1071</v>
      </c>
      <c r="C39" s="116">
        <v>2</v>
      </c>
      <c r="D39" s="3" t="s">
        <v>1085</v>
      </c>
      <c r="E39" s="184"/>
      <c r="F39" s="216" t="s">
        <v>1185</v>
      </c>
      <c r="G39" s="184"/>
      <c r="H39" s="184"/>
      <c r="I39" s="184"/>
      <c r="J39" s="184"/>
      <c r="K39" s="184"/>
      <c r="L39" s="184"/>
      <c r="M39" s="185">
        <v>44457</v>
      </c>
      <c r="N39" s="185">
        <v>44485</v>
      </c>
      <c r="O39" s="186"/>
      <c r="P39" s="187">
        <v>28</v>
      </c>
      <c r="Q39" s="187">
        <v>7</v>
      </c>
      <c r="R39" s="188">
        <v>29</v>
      </c>
      <c r="S39" s="188">
        <v>8</v>
      </c>
      <c r="T39" s="185"/>
      <c r="U39" s="185"/>
      <c r="V39" s="189">
        <v>0</v>
      </c>
      <c r="W39" s="190">
        <v>0</v>
      </c>
      <c r="X39" s="191"/>
      <c r="Y39" s="186"/>
      <c r="Z39" s="192"/>
      <c r="AA39" s="97">
        <v>0.25</v>
      </c>
      <c r="AB39" s="193">
        <v>0.25</v>
      </c>
      <c r="AC39" s="123"/>
      <c r="AD39" s="4"/>
      <c r="AE39" s="4"/>
      <c r="AF39" s="4"/>
      <c r="AG39" s="4"/>
      <c r="AH39" s="4"/>
      <c r="AI39" s="4"/>
      <c r="AJ39" s="4"/>
      <c r="AK39" s="4"/>
      <c r="AL39" s="4"/>
      <c r="AM39" s="4" t="str">
        <f>"      " &amp; TEXT(AB39,"#0.00%") &amp; " "</f>
        <v xml:space="preserve">      25.00% </v>
      </c>
      <c r="AN39" s="4"/>
      <c r="AO39" s="4"/>
      <c r="AP39" s="4"/>
      <c r="AQ39" s="4" t="str">
        <f>"" &amp; "테스트 및 디버깅" &amp; " " &amp; IF(M39="","",TEXT(M39,"M/D-")) &amp; IF(N39="","",TEXT(N39,"M/D")) &amp; " "</f>
        <v xml:space="preserve">테스트 및 디버깅 9/18-10/16 </v>
      </c>
      <c r="AR39" s="4"/>
      <c r="AS39" s="4"/>
      <c r="AT39" s="4"/>
      <c r="AU39" s="4"/>
      <c r="AV39" s="4"/>
      <c r="AW39" s="4"/>
      <c r="AX39" s="4"/>
      <c r="AY39" s="4"/>
      <c r="AZ39" s="4"/>
      <c r="BA39" s="4"/>
      <c r="BB39" s="4"/>
      <c r="BC39" s="4"/>
      <c r="BD39" s="4"/>
      <c r="BE39" s="4"/>
      <c r="BF39" s="4"/>
      <c r="BG39" s="4"/>
      <c r="BH39" s="4"/>
      <c r="BI39" s="4"/>
      <c r="BJ39" s="4"/>
      <c r="BK39" s="4"/>
      <c r="BL39" s="4"/>
      <c r="BM39" s="4"/>
      <c r="BN39" s="4"/>
      <c r="BO39" s="4"/>
      <c r="BP39" s="4"/>
      <c r="BQ39" s="4"/>
      <c r="BR39" s="4"/>
      <c r="BS39" s="4"/>
      <c r="BT39" s="4"/>
      <c r="BU39" s="4"/>
      <c r="BV39" s="4"/>
      <c r="BW39" s="4"/>
      <c r="BX39" s="4"/>
      <c r="BY39" s="4"/>
      <c r="BZ39" s="4"/>
      <c r="CA39" s="4"/>
      <c r="CB39" s="4"/>
      <c r="CC39" s="4"/>
      <c r="CD39" s="4"/>
      <c r="CE39" s="4"/>
      <c r="CF39" s="4"/>
      <c r="CG39" s="4"/>
      <c r="CH39" s="4"/>
      <c r="CI39" s="4"/>
      <c r="CJ39" s="4"/>
      <c r="CK39" s="4"/>
      <c r="CL39" s="4"/>
      <c r="CM39" s="4"/>
      <c r="CN39" s="4"/>
      <c r="CO39" s="4"/>
      <c r="CP39" s="4"/>
      <c r="CQ39" s="4"/>
      <c r="CR39" s="4"/>
      <c r="CS39" s="4"/>
      <c r="CT39" s="4"/>
      <c r="CU39" s="4"/>
      <c r="CV39" s="4"/>
      <c r="CW39" s="4"/>
      <c r="CX39" s="4"/>
      <c r="CY39" s="4"/>
      <c r="CZ39" s="4"/>
      <c r="DA39" s="4"/>
      <c r="DB39" s="4"/>
      <c r="DC39" s="4"/>
      <c r="DD39" s="4"/>
      <c r="DE39" s="4"/>
      <c r="DF39" s="4"/>
      <c r="DG39" s="4"/>
      <c r="DH39" s="4"/>
      <c r="DI39" s="4"/>
      <c r="DJ39" s="4"/>
      <c r="DK39" s="4"/>
      <c r="DL39" s="4"/>
      <c r="DM39" s="4"/>
      <c r="DN39" s="4"/>
      <c r="DO39" s="4"/>
      <c r="DP39" s="4"/>
      <c r="DQ39" s="4"/>
      <c r="DR39" s="4"/>
      <c r="DS39" s="4"/>
      <c r="DT39" s="4"/>
      <c r="DU39" s="4"/>
      <c r="DV39" s="4"/>
      <c r="DW39" s="4"/>
      <c r="DX39" s="4"/>
      <c r="DY39" s="4"/>
      <c r="DZ39" s="4"/>
      <c r="EA39" s="4"/>
      <c r="EB39" s="4"/>
      <c r="EC39" s="4"/>
      <c r="ED39" s="4"/>
      <c r="EE39" s="4"/>
      <c r="EF39" s="4"/>
      <c r="EG39" s="4"/>
      <c r="EH39" s="4"/>
      <c r="EI39" s="4"/>
      <c r="EJ39" s="4"/>
    </row>
    <row r="40" spans="1:140" outlineLevel="2">
      <c r="A40" s="116"/>
      <c r="B40" s="116"/>
      <c r="C40" s="116">
        <v>3</v>
      </c>
      <c r="D40" s="3" t="s">
        <v>1086</v>
      </c>
      <c r="E40" s="184"/>
      <c r="F40" s="184"/>
      <c r="G40" s="217" t="s">
        <v>1186</v>
      </c>
      <c r="H40" s="184"/>
      <c r="I40" s="184"/>
      <c r="J40" s="184"/>
      <c r="K40" s="184"/>
      <c r="L40" s="184"/>
      <c r="M40" s="185">
        <v>44457</v>
      </c>
      <c r="N40" s="185">
        <v>44463</v>
      </c>
      <c r="O40" s="186"/>
      <c r="P40" s="187">
        <v>7</v>
      </c>
      <c r="Q40" s="187">
        <v>7</v>
      </c>
      <c r="R40" s="188">
        <v>7</v>
      </c>
      <c r="S40" s="188">
        <v>7</v>
      </c>
      <c r="T40" s="185"/>
      <c r="U40" s="185"/>
      <c r="V40" s="189"/>
      <c r="W40" s="190">
        <v>0</v>
      </c>
      <c r="X40" s="191">
        <v>1</v>
      </c>
      <c r="Y40" s="186"/>
      <c r="Z40" s="192"/>
      <c r="AA40" s="97">
        <v>1</v>
      </c>
      <c r="AB40" s="193">
        <v>1</v>
      </c>
      <c r="AC40" s="123"/>
      <c r="AD40" s="4"/>
      <c r="AE40" s="4"/>
      <c r="AF40" s="4"/>
      <c r="AG40" s="4"/>
      <c r="AH40" s="4"/>
      <c r="AI40" s="4"/>
      <c r="AJ40" s="4"/>
      <c r="AK40" s="4"/>
      <c r="AL40" s="4"/>
      <c r="AM40" s="4" t="str">
        <f>"      " &amp; TEXT(AB40,"#0.00%") &amp; " " &amp; "개별 테스트 진행" &amp; " " &amp; IF(M40="","",TEXT(M40,"M/D-")) &amp; IF(N40="","",TEXT(N40,"M/D")) &amp; " "</f>
        <v xml:space="preserve">      100.00% 개별 테스트 진행 9/18-9/24 </v>
      </c>
      <c r="AN40" s="4"/>
      <c r="AO40" s="4"/>
      <c r="AP40" s="4"/>
      <c r="AQ40" s="4"/>
      <c r="AR40" s="4"/>
      <c r="AS40" s="4"/>
      <c r="AT40" s="4"/>
      <c r="AU40" s="4"/>
      <c r="AV40" s="4"/>
      <c r="AW40" s="4"/>
      <c r="AX40" s="4"/>
      <c r="AY40" s="4"/>
      <c r="AZ40" s="4"/>
      <c r="BA40" s="4"/>
      <c r="BB40" s="4"/>
      <c r="BC40" s="4"/>
      <c r="BD40" s="4"/>
      <c r="BE40" s="4"/>
      <c r="BF40" s="4"/>
      <c r="BG40" s="4"/>
      <c r="BH40" s="4"/>
      <c r="BI40" s="4"/>
      <c r="BJ40" s="4"/>
      <c r="BK40" s="4"/>
      <c r="BL40" s="4"/>
      <c r="BM40" s="4"/>
      <c r="BN40" s="4"/>
      <c r="BO40" s="4"/>
      <c r="BP40" s="4"/>
      <c r="BQ40" s="4"/>
      <c r="BR40" s="4"/>
      <c r="BS40" s="4"/>
      <c r="BT40" s="4"/>
      <c r="BU40" s="4"/>
      <c r="BV40" s="4"/>
      <c r="BW40" s="4"/>
      <c r="BX40" s="4"/>
      <c r="BY40" s="4"/>
      <c r="BZ40" s="4"/>
      <c r="CA40" s="4"/>
      <c r="CB40" s="4"/>
      <c r="CC40" s="4"/>
      <c r="CD40" s="4"/>
      <c r="CE40" s="4"/>
      <c r="CF40" s="4"/>
      <c r="CG40" s="4"/>
      <c r="CH40" s="4"/>
      <c r="CI40" s="4"/>
      <c r="CJ40" s="4"/>
      <c r="CK40" s="4"/>
      <c r="CL40" s="4"/>
      <c r="CM40" s="4"/>
      <c r="CN40" s="4"/>
      <c r="CO40" s="4"/>
      <c r="CP40" s="4"/>
      <c r="CQ40" s="4"/>
      <c r="CR40" s="4"/>
      <c r="CS40" s="4"/>
      <c r="CT40" s="4"/>
      <c r="CU40" s="4"/>
      <c r="CV40" s="4"/>
      <c r="CW40" s="4"/>
      <c r="CX40" s="4"/>
      <c r="CY40" s="4"/>
      <c r="CZ40" s="4"/>
      <c r="DA40" s="4"/>
      <c r="DB40" s="4"/>
      <c r="DC40" s="4"/>
      <c r="DD40" s="4"/>
      <c r="DE40" s="4"/>
      <c r="DF40" s="4"/>
      <c r="DG40" s="4"/>
      <c r="DH40" s="4"/>
      <c r="DI40" s="4"/>
      <c r="DJ40" s="4"/>
      <c r="DK40" s="4"/>
      <c r="DL40" s="4"/>
      <c r="DM40" s="4"/>
      <c r="DN40" s="4"/>
      <c r="DO40" s="4"/>
      <c r="DP40" s="4"/>
      <c r="DQ40" s="4"/>
      <c r="DR40" s="4"/>
      <c r="DS40" s="4"/>
      <c r="DT40" s="4"/>
      <c r="DU40" s="4"/>
      <c r="DV40" s="4"/>
      <c r="DW40" s="4"/>
      <c r="DX40" s="4"/>
      <c r="DY40" s="4"/>
      <c r="DZ40" s="4"/>
      <c r="EA40" s="4"/>
      <c r="EB40" s="4"/>
      <c r="EC40" s="4"/>
      <c r="ED40" s="4"/>
      <c r="EE40" s="4"/>
      <c r="EF40" s="4"/>
      <c r="EG40" s="4"/>
      <c r="EH40" s="4"/>
      <c r="EI40" s="4"/>
      <c r="EJ40" s="4"/>
    </row>
    <row r="41" spans="1:140" outlineLevel="2">
      <c r="A41" s="116"/>
      <c r="B41" s="116"/>
      <c r="C41" s="116">
        <v>3</v>
      </c>
      <c r="D41" s="3" t="s">
        <v>1087</v>
      </c>
      <c r="E41" s="184"/>
      <c r="F41" s="184"/>
      <c r="G41" s="216" t="s">
        <v>1187</v>
      </c>
      <c r="H41" s="184"/>
      <c r="I41" s="184"/>
      <c r="J41" s="184"/>
      <c r="K41" s="184"/>
      <c r="L41" s="184"/>
      <c r="M41" s="185">
        <v>44465</v>
      </c>
      <c r="N41" s="185">
        <v>44485</v>
      </c>
      <c r="O41" s="186"/>
      <c r="P41" s="187">
        <v>21</v>
      </c>
      <c r="Q41" s="187">
        <v>0</v>
      </c>
      <c r="R41" s="188">
        <v>21</v>
      </c>
      <c r="S41" s="188">
        <v>0</v>
      </c>
      <c r="T41" s="185"/>
      <c r="U41" s="185"/>
      <c r="V41" s="189"/>
      <c r="W41" s="190">
        <v>0</v>
      </c>
      <c r="X41" s="191">
        <v>1</v>
      </c>
      <c r="Y41" s="186"/>
      <c r="Z41" s="192"/>
      <c r="AA41" s="97">
        <v>0</v>
      </c>
      <c r="AB41" s="193">
        <v>0</v>
      </c>
      <c r="AC41" s="123"/>
      <c r="AD41" s="4"/>
      <c r="AE41" s="4"/>
      <c r="AF41" s="4"/>
      <c r="AG41" s="4"/>
      <c r="AH41" s="4"/>
      <c r="AI41" s="4"/>
      <c r="AJ41" s="4"/>
      <c r="AK41" s="4"/>
      <c r="AL41" s="4"/>
      <c r="AM41" s="4"/>
      <c r="AN41" s="4" t="str">
        <f>"" &amp; TEXT(AB41,"#0.00%") &amp; " "</f>
        <v xml:space="preserve">0.00% </v>
      </c>
      <c r="AO41" s="4"/>
      <c r="AP41" s="4"/>
      <c r="AQ41" s="4" t="str">
        <f>"" &amp; "통합 테스트 실시" &amp; " " &amp; IF(M41="","",TEXT(M41,"M/D-")) &amp; IF(N41="","",TEXT(N41,"M/D")) &amp; " "</f>
        <v xml:space="preserve">통합 테스트 실시 9/26-10/16 </v>
      </c>
      <c r="AR41" s="4"/>
      <c r="AS41" s="4"/>
      <c r="AT41" s="4"/>
      <c r="AU41" s="4"/>
      <c r="AV41" s="4"/>
      <c r="AW41" s="4"/>
      <c r="AX41" s="4"/>
      <c r="AY41" s="4"/>
      <c r="AZ41" s="4"/>
      <c r="BA41" s="4"/>
      <c r="BB41" s="4"/>
      <c r="BC41" s="4"/>
      <c r="BD41" s="4"/>
      <c r="BE41" s="4"/>
      <c r="BF41" s="4"/>
      <c r="BG41" s="4"/>
      <c r="BH41" s="4"/>
      <c r="BI41" s="4"/>
      <c r="BJ41" s="4"/>
      <c r="BK41" s="4"/>
      <c r="BL41" s="4"/>
      <c r="BM41" s="4"/>
      <c r="BN41" s="4"/>
      <c r="BO41" s="4"/>
      <c r="BP41" s="4"/>
      <c r="BQ41" s="4"/>
      <c r="BR41" s="4"/>
      <c r="BS41" s="4"/>
      <c r="BT41" s="4"/>
      <c r="BU41" s="4"/>
      <c r="BV41" s="4"/>
      <c r="BW41" s="4"/>
      <c r="BX41" s="4"/>
      <c r="BY41" s="4"/>
      <c r="BZ41" s="4"/>
      <c r="CA41" s="4"/>
      <c r="CB41" s="4"/>
      <c r="CC41" s="4"/>
      <c r="CD41" s="4"/>
      <c r="CE41" s="4"/>
      <c r="CF41" s="4"/>
      <c r="CG41" s="4"/>
      <c r="CH41" s="4"/>
      <c r="CI41" s="4"/>
      <c r="CJ41" s="4"/>
      <c r="CK41" s="4"/>
      <c r="CL41" s="4"/>
      <c r="CM41" s="4"/>
      <c r="CN41" s="4"/>
      <c r="CO41" s="4"/>
      <c r="CP41" s="4"/>
      <c r="CQ41" s="4"/>
      <c r="CR41" s="4"/>
      <c r="CS41" s="4"/>
      <c r="CT41" s="4"/>
      <c r="CU41" s="4"/>
      <c r="CV41" s="4"/>
      <c r="CW41" s="4"/>
      <c r="CX41" s="4"/>
      <c r="CY41" s="4"/>
      <c r="CZ41" s="4"/>
      <c r="DA41" s="4"/>
      <c r="DB41" s="4"/>
      <c r="DC41" s="4"/>
      <c r="DD41" s="4"/>
      <c r="DE41" s="4"/>
      <c r="DF41" s="4"/>
      <c r="DG41" s="4"/>
      <c r="DH41" s="4"/>
      <c r="DI41" s="4"/>
      <c r="DJ41" s="4"/>
      <c r="DK41" s="4"/>
      <c r="DL41" s="4"/>
      <c r="DM41" s="4"/>
      <c r="DN41" s="4"/>
      <c r="DO41" s="4"/>
      <c r="DP41" s="4"/>
      <c r="DQ41" s="4"/>
      <c r="DR41" s="4"/>
      <c r="DS41" s="4"/>
      <c r="DT41" s="4"/>
      <c r="DU41" s="4"/>
      <c r="DV41" s="4"/>
      <c r="DW41" s="4"/>
      <c r="DX41" s="4"/>
      <c r="DY41" s="4"/>
      <c r="DZ41" s="4"/>
      <c r="EA41" s="4"/>
      <c r="EB41" s="4"/>
      <c r="EC41" s="4"/>
      <c r="ED41" s="4"/>
      <c r="EE41" s="4"/>
      <c r="EF41" s="4"/>
      <c r="EG41" s="4"/>
      <c r="EH41" s="4"/>
      <c r="EI41" s="4"/>
      <c r="EJ41" s="4"/>
    </row>
    <row r="42" spans="1:140">
      <c r="A42" s="194"/>
      <c r="B42" s="194"/>
      <c r="C42" s="194"/>
      <c r="D42" s="195"/>
      <c r="E42" s="196"/>
      <c r="F42" s="196"/>
      <c r="G42" s="196"/>
      <c r="H42" s="196"/>
      <c r="I42" s="196"/>
      <c r="J42" s="196"/>
      <c r="K42" s="196"/>
      <c r="L42" s="196"/>
      <c r="M42" s="197"/>
      <c r="N42" s="197"/>
      <c r="O42" s="198"/>
      <c r="P42" s="199"/>
      <c r="Q42" s="199"/>
      <c r="R42" s="200"/>
      <c r="S42" s="200"/>
      <c r="T42" s="197"/>
      <c r="U42" s="197"/>
      <c r="V42" s="201"/>
      <c r="W42" s="202"/>
      <c r="X42" s="203"/>
      <c r="Y42" s="198"/>
      <c r="Z42" s="204"/>
      <c r="AA42" s="205"/>
      <c r="AB42" s="206"/>
      <c r="AC42" s="182"/>
      <c r="AD42" s="182"/>
      <c r="AE42" s="182"/>
      <c r="AF42" s="182"/>
      <c r="AG42" s="182"/>
      <c r="AH42" s="182"/>
      <c r="AI42" s="182"/>
      <c r="AJ42" s="182"/>
      <c r="AK42" s="182"/>
      <c r="AL42" s="182"/>
      <c r="AM42" s="182"/>
      <c r="AN42" s="182"/>
      <c r="AO42" s="182"/>
      <c r="AP42" s="182"/>
      <c r="AQ42" s="182"/>
      <c r="AR42" s="182"/>
      <c r="AS42" s="182"/>
      <c r="AT42" s="182"/>
      <c r="AU42" s="182"/>
      <c r="AV42" s="182"/>
      <c r="AW42" s="182"/>
      <c r="AX42" s="182"/>
      <c r="AY42" s="182"/>
      <c r="AZ42" s="182"/>
      <c r="BA42" s="182"/>
      <c r="BB42" s="182"/>
      <c r="BC42" s="182"/>
      <c r="BD42" s="182"/>
      <c r="BE42" s="182"/>
      <c r="BF42" s="182"/>
      <c r="BG42" s="182"/>
      <c r="BH42" s="182"/>
      <c r="BI42" s="182"/>
      <c r="BJ42" s="182"/>
      <c r="BK42" s="182"/>
      <c r="BL42" s="182"/>
      <c r="BM42" s="182"/>
      <c r="BN42" s="182"/>
      <c r="BO42" s="182"/>
      <c r="BP42" s="182"/>
      <c r="BQ42" s="182"/>
      <c r="BR42" s="182"/>
      <c r="BS42" s="182"/>
      <c r="BT42" s="182"/>
      <c r="BU42" s="182"/>
      <c r="BV42" s="182"/>
      <c r="BW42" s="182"/>
      <c r="BX42" s="182"/>
      <c r="BY42" s="182"/>
      <c r="BZ42" s="182"/>
      <c r="CA42" s="182"/>
      <c r="CB42" s="182"/>
      <c r="CC42" s="182"/>
      <c r="CD42" s="182"/>
      <c r="CE42" s="182"/>
      <c r="CF42" s="182"/>
      <c r="CG42" s="182"/>
      <c r="CH42" s="182"/>
      <c r="CI42" s="182"/>
      <c r="CJ42" s="182"/>
      <c r="CK42" s="182"/>
      <c r="CL42" s="182"/>
      <c r="CM42" s="182"/>
      <c r="CN42" s="182"/>
      <c r="CO42" s="182"/>
      <c r="CP42" s="182"/>
      <c r="CQ42" s="182"/>
      <c r="CR42" s="182"/>
      <c r="CS42" s="182"/>
      <c r="CT42" s="182"/>
      <c r="CU42" s="182"/>
      <c r="CV42" s="182"/>
      <c r="CW42" s="182"/>
      <c r="CX42" s="182"/>
      <c r="CY42" s="182"/>
      <c r="CZ42" s="182"/>
      <c r="DA42" s="182"/>
      <c r="DB42" s="182"/>
      <c r="DC42" s="182"/>
      <c r="DD42" s="182"/>
      <c r="DE42" s="182"/>
      <c r="DF42" s="182"/>
      <c r="DG42" s="182"/>
      <c r="DH42" s="182"/>
      <c r="DI42" s="182"/>
      <c r="DJ42" s="182"/>
      <c r="DK42" s="182"/>
      <c r="DL42" s="182"/>
      <c r="DM42" s="182"/>
      <c r="DN42" s="182"/>
      <c r="DO42" s="182"/>
      <c r="DP42" s="182"/>
      <c r="DQ42" s="182"/>
      <c r="DR42" s="182"/>
      <c r="DS42" s="182"/>
      <c r="DT42" s="182"/>
      <c r="DU42" s="182"/>
      <c r="DV42" s="182"/>
      <c r="DW42" s="182"/>
      <c r="DX42" s="182"/>
      <c r="DY42" s="182"/>
      <c r="DZ42" s="182"/>
      <c r="EA42" s="182"/>
      <c r="EB42" s="182"/>
      <c r="EC42" s="182"/>
      <c r="ED42" s="182"/>
      <c r="EE42" s="182"/>
      <c r="EF42" s="182"/>
      <c r="EG42" s="182"/>
      <c r="EH42" s="182"/>
      <c r="EI42" s="182"/>
      <c r="EJ42" s="182"/>
    </row>
    <row r="43" spans="1:140">
      <c r="A43" s="116"/>
      <c r="B43" s="116"/>
      <c r="C43" s="116"/>
      <c r="D43" s="3"/>
      <c r="E43" s="184"/>
      <c r="F43" s="184"/>
      <c r="G43" s="184"/>
      <c r="H43" s="184"/>
      <c r="I43" s="184"/>
      <c r="J43" s="184"/>
      <c r="K43" s="184"/>
      <c r="L43" s="184"/>
      <c r="M43" s="185"/>
      <c r="N43" s="185"/>
      <c r="O43" s="186"/>
      <c r="P43" s="187"/>
      <c r="Q43" s="187"/>
      <c r="R43" s="188"/>
      <c r="S43" s="188"/>
      <c r="T43" s="185"/>
      <c r="U43" s="185"/>
      <c r="V43" s="189"/>
      <c r="W43" s="190"/>
      <c r="X43" s="191"/>
      <c r="Y43" s="186"/>
      <c r="Z43" s="192"/>
      <c r="AA43" s="97"/>
      <c r="AB43" s="193"/>
    </row>
    <row r="44" spans="1:140">
      <c r="A44" s="116"/>
      <c r="B44" s="116"/>
      <c r="C44" s="116"/>
      <c r="D44" s="3"/>
      <c r="E44" s="184"/>
      <c r="F44" s="184"/>
      <c r="G44" s="184"/>
      <c r="H44" s="184"/>
      <c r="I44" s="184"/>
      <c r="J44" s="184"/>
      <c r="K44" s="184"/>
      <c r="L44" s="184"/>
      <c r="M44" s="185"/>
      <c r="N44" s="185"/>
      <c r="O44" s="186"/>
      <c r="P44" s="187"/>
      <c r="Q44" s="187"/>
      <c r="R44" s="188"/>
      <c r="S44" s="188"/>
      <c r="T44" s="185"/>
      <c r="U44" s="185"/>
      <c r="V44" s="189"/>
      <c r="W44" s="190"/>
      <c r="X44" s="191"/>
      <c r="Y44" s="186"/>
      <c r="Z44" s="192"/>
      <c r="AA44" s="97"/>
      <c r="AB44" s="193"/>
    </row>
    <row r="45" spans="1:140">
      <c r="A45" s="116"/>
      <c r="B45" s="116"/>
      <c r="C45" s="116"/>
      <c r="D45" s="3"/>
      <c r="E45" s="184"/>
      <c r="F45" s="184"/>
      <c r="G45" s="184"/>
      <c r="H45" s="184"/>
      <c r="I45" s="184"/>
      <c r="J45" s="184"/>
      <c r="K45" s="184"/>
      <c r="L45" s="184"/>
      <c r="M45" s="185"/>
      <c r="N45" s="185"/>
      <c r="O45" s="186"/>
      <c r="P45" s="187"/>
      <c r="Q45" s="187"/>
      <c r="R45" s="188"/>
      <c r="S45" s="188"/>
      <c r="T45" s="185"/>
      <c r="U45" s="185"/>
      <c r="V45" s="189"/>
      <c r="W45" s="190"/>
      <c r="X45" s="191"/>
      <c r="Y45" s="186"/>
      <c r="Z45" s="192"/>
      <c r="AA45" s="97"/>
      <c r="AB45" s="193"/>
    </row>
    <row r="46" spans="1:140">
      <c r="A46" s="116"/>
      <c r="B46" s="116"/>
      <c r="C46" s="116"/>
      <c r="D46" s="3"/>
      <c r="E46" s="184"/>
      <c r="F46" s="184"/>
      <c r="G46" s="184"/>
      <c r="H46" s="184"/>
      <c r="I46" s="184"/>
      <c r="J46" s="184"/>
      <c r="K46" s="184"/>
      <c r="L46" s="184"/>
      <c r="M46" s="185"/>
      <c r="N46" s="185"/>
      <c r="O46" s="186"/>
      <c r="P46" s="187"/>
      <c r="Q46" s="187"/>
      <c r="R46" s="188"/>
      <c r="S46" s="188"/>
      <c r="T46" s="185"/>
      <c r="U46" s="185"/>
      <c r="V46" s="189"/>
      <c r="W46" s="190"/>
      <c r="X46" s="191"/>
      <c r="Y46" s="186"/>
      <c r="Z46" s="192"/>
      <c r="AA46" s="97"/>
      <c r="AB46" s="193"/>
    </row>
    <row r="47" spans="1:140">
      <c r="A47" s="116"/>
      <c r="B47" s="116"/>
      <c r="C47" s="116"/>
      <c r="D47" s="3"/>
      <c r="E47" s="184"/>
      <c r="F47" s="184"/>
      <c r="G47" s="184"/>
      <c r="H47" s="184"/>
      <c r="I47" s="184"/>
      <c r="J47" s="184"/>
      <c r="K47" s="184"/>
      <c r="L47" s="184"/>
      <c r="M47" s="185"/>
      <c r="N47" s="185"/>
      <c r="O47" s="186"/>
      <c r="P47" s="187"/>
      <c r="Q47" s="187"/>
      <c r="R47" s="188"/>
      <c r="S47" s="188"/>
      <c r="T47" s="185"/>
      <c r="U47" s="185"/>
      <c r="V47" s="189"/>
      <c r="W47" s="190"/>
      <c r="X47" s="191"/>
      <c r="Y47" s="186"/>
      <c r="Z47" s="192"/>
      <c r="AA47" s="97"/>
      <c r="AB47" s="193"/>
    </row>
    <row r="48" spans="1:140">
      <c r="A48" s="116"/>
      <c r="B48" s="116"/>
      <c r="C48" s="116"/>
      <c r="D48" s="3"/>
      <c r="E48" s="184"/>
      <c r="F48" s="184"/>
      <c r="G48" s="184"/>
      <c r="H48" s="184"/>
      <c r="I48" s="184"/>
      <c r="J48" s="184"/>
      <c r="K48" s="184"/>
      <c r="L48" s="184"/>
      <c r="M48" s="185"/>
      <c r="N48" s="185"/>
      <c r="O48" s="186"/>
      <c r="P48" s="187"/>
      <c r="Q48" s="187"/>
      <c r="R48" s="188"/>
      <c r="S48" s="188"/>
      <c r="T48" s="185"/>
      <c r="U48" s="185"/>
      <c r="V48" s="189"/>
      <c r="W48" s="190"/>
      <c r="X48" s="191"/>
      <c r="Y48" s="186"/>
      <c r="Z48" s="192"/>
      <c r="AA48" s="97"/>
      <c r="AB48" s="193"/>
    </row>
    <row r="49" spans="1:28">
      <c r="A49" s="116"/>
      <c r="B49" s="116"/>
      <c r="C49" s="116"/>
      <c r="D49" s="3"/>
      <c r="E49" s="184"/>
      <c r="F49" s="184"/>
      <c r="G49" s="184"/>
      <c r="H49" s="184"/>
      <c r="I49" s="184"/>
      <c r="J49" s="184"/>
      <c r="K49" s="184"/>
      <c r="L49" s="184"/>
      <c r="M49" s="185"/>
      <c r="N49" s="185"/>
      <c r="O49" s="186"/>
      <c r="P49" s="187"/>
      <c r="Q49" s="187"/>
      <c r="R49" s="188"/>
      <c r="S49" s="188"/>
      <c r="T49" s="185"/>
      <c r="U49" s="185"/>
      <c r="V49" s="189"/>
      <c r="W49" s="190"/>
      <c r="X49" s="191"/>
      <c r="Y49" s="186"/>
      <c r="Z49" s="192"/>
      <c r="AA49" s="97"/>
      <c r="AB49" s="193"/>
    </row>
    <row r="50" spans="1:28">
      <c r="A50" s="116"/>
      <c r="B50" s="116"/>
      <c r="C50" s="116"/>
      <c r="D50" s="3"/>
      <c r="E50" s="184"/>
      <c r="F50" s="184"/>
      <c r="G50" s="184"/>
      <c r="H50" s="184"/>
      <c r="I50" s="184"/>
      <c r="J50" s="184"/>
      <c r="K50" s="184"/>
      <c r="L50" s="184"/>
      <c r="M50" s="185"/>
      <c r="N50" s="185"/>
      <c r="O50" s="186"/>
      <c r="P50" s="187"/>
      <c r="Q50" s="187"/>
      <c r="R50" s="188"/>
      <c r="S50" s="188"/>
      <c r="T50" s="185"/>
      <c r="U50" s="185"/>
      <c r="V50" s="189"/>
      <c r="W50" s="190"/>
      <c r="X50" s="191"/>
      <c r="Y50" s="186"/>
      <c r="Z50" s="192"/>
      <c r="AA50" s="97"/>
      <c r="AB50" s="193"/>
    </row>
    <row r="51" spans="1:28">
      <c r="A51" s="116"/>
      <c r="B51" s="116"/>
      <c r="C51" s="116"/>
      <c r="D51" s="3"/>
      <c r="E51" s="184"/>
      <c r="F51" s="184"/>
      <c r="G51" s="184"/>
      <c r="H51" s="184"/>
      <c r="I51" s="184"/>
      <c r="J51" s="184"/>
      <c r="K51" s="184"/>
      <c r="L51" s="184"/>
      <c r="M51" s="185"/>
      <c r="N51" s="185"/>
      <c r="O51" s="186"/>
      <c r="P51" s="187"/>
      <c r="Q51" s="187"/>
      <c r="R51" s="188"/>
      <c r="S51" s="188"/>
      <c r="T51" s="185"/>
      <c r="U51" s="185"/>
      <c r="V51" s="189"/>
      <c r="W51" s="190"/>
      <c r="X51" s="191"/>
      <c r="Y51" s="186"/>
      <c r="Z51" s="192"/>
      <c r="AA51" s="97"/>
      <c r="AB51" s="193"/>
    </row>
    <row r="52" spans="1:28">
      <c r="A52" s="116"/>
      <c r="B52" s="116"/>
      <c r="C52" s="116"/>
      <c r="D52" s="3"/>
      <c r="E52" s="184"/>
      <c r="F52" s="184"/>
      <c r="G52" s="184"/>
      <c r="H52" s="184"/>
      <c r="I52" s="184"/>
      <c r="J52" s="184"/>
      <c r="K52" s="184"/>
      <c r="L52" s="184"/>
      <c r="M52" s="185"/>
      <c r="N52" s="185"/>
      <c r="O52" s="186"/>
      <c r="P52" s="187"/>
      <c r="Q52" s="187"/>
      <c r="R52" s="188"/>
      <c r="S52" s="188"/>
      <c r="T52" s="185"/>
      <c r="U52" s="185"/>
      <c r="V52" s="189"/>
      <c r="W52" s="190"/>
      <c r="X52" s="191"/>
      <c r="Y52" s="186"/>
      <c r="Z52" s="192"/>
      <c r="AA52" s="97"/>
      <c r="AB52" s="193"/>
    </row>
    <row r="53" spans="1:28">
      <c r="A53" s="116"/>
      <c r="B53" s="116"/>
      <c r="C53" s="116"/>
      <c r="D53" s="3"/>
      <c r="E53" s="184"/>
      <c r="F53" s="184"/>
      <c r="G53" s="184"/>
      <c r="H53" s="184"/>
      <c r="I53" s="184"/>
      <c r="J53" s="184"/>
      <c r="K53" s="184"/>
      <c r="L53" s="184"/>
      <c r="M53" s="185"/>
      <c r="N53" s="185"/>
      <c r="O53" s="186"/>
      <c r="P53" s="187"/>
      <c r="Q53" s="187"/>
      <c r="R53" s="188"/>
      <c r="S53" s="188"/>
      <c r="T53" s="185"/>
      <c r="U53" s="185"/>
      <c r="V53" s="189"/>
      <c r="W53" s="190"/>
      <c r="X53" s="191"/>
      <c r="Y53" s="186"/>
      <c r="Z53" s="192"/>
      <c r="AA53" s="97"/>
      <c r="AB53" s="193"/>
    </row>
    <row r="54" spans="1:28">
      <c r="A54" s="116"/>
      <c r="B54" s="116"/>
      <c r="C54" s="116"/>
      <c r="D54" s="3"/>
      <c r="E54" s="184"/>
      <c r="F54" s="184"/>
      <c r="G54" s="184"/>
      <c r="H54" s="184"/>
      <c r="I54" s="184"/>
      <c r="J54" s="184"/>
      <c r="K54" s="184"/>
      <c r="L54" s="184"/>
      <c r="M54" s="185"/>
      <c r="N54" s="185"/>
      <c r="O54" s="186"/>
      <c r="P54" s="187"/>
      <c r="Q54" s="187"/>
      <c r="R54" s="188"/>
      <c r="S54" s="188"/>
      <c r="T54" s="185"/>
      <c r="U54" s="185"/>
      <c r="V54" s="189"/>
      <c r="W54" s="190"/>
      <c r="X54" s="191"/>
      <c r="Y54" s="186"/>
      <c r="Z54" s="192"/>
      <c r="AA54" s="97"/>
      <c r="AB54" s="193"/>
    </row>
    <row r="55" spans="1:28">
      <c r="A55" s="116"/>
      <c r="B55" s="116"/>
      <c r="C55" s="116"/>
      <c r="D55" s="3"/>
      <c r="E55" s="184"/>
      <c r="F55" s="184"/>
      <c r="G55" s="184"/>
      <c r="H55" s="184"/>
      <c r="I55" s="184"/>
      <c r="J55" s="184"/>
      <c r="K55" s="184"/>
      <c r="L55" s="184"/>
      <c r="M55" s="185"/>
      <c r="N55" s="185"/>
      <c r="O55" s="186"/>
      <c r="P55" s="187"/>
      <c r="Q55" s="187"/>
      <c r="R55" s="188"/>
      <c r="S55" s="188"/>
      <c r="T55" s="185"/>
      <c r="U55" s="185"/>
      <c r="V55" s="189"/>
      <c r="W55" s="190"/>
      <c r="X55" s="191"/>
      <c r="Y55" s="186"/>
      <c r="Z55" s="192"/>
      <c r="AA55" s="97"/>
      <c r="AB55" s="193"/>
    </row>
    <row r="56" spans="1:28">
      <c r="A56" s="116"/>
      <c r="B56" s="116"/>
      <c r="C56" s="116"/>
      <c r="D56" s="3"/>
      <c r="E56" s="184"/>
      <c r="F56" s="184"/>
      <c r="G56" s="184"/>
      <c r="H56" s="184"/>
      <c r="I56" s="184"/>
      <c r="J56" s="184"/>
      <c r="K56" s="184"/>
      <c r="L56" s="184"/>
      <c r="M56" s="185"/>
      <c r="N56" s="185"/>
      <c r="O56" s="186"/>
      <c r="P56" s="187"/>
      <c r="Q56" s="187"/>
      <c r="R56" s="188"/>
      <c r="S56" s="188"/>
      <c r="T56" s="185"/>
      <c r="U56" s="185"/>
      <c r="V56" s="189"/>
      <c r="W56" s="190"/>
      <c r="X56" s="191"/>
      <c r="Y56" s="186"/>
      <c r="Z56" s="192"/>
      <c r="AA56" s="97"/>
      <c r="AB56" s="193"/>
    </row>
    <row r="57" spans="1:28">
      <c r="A57" s="116"/>
      <c r="B57" s="116"/>
      <c r="C57" s="116"/>
      <c r="D57" s="3"/>
      <c r="E57" s="184"/>
      <c r="F57" s="184"/>
      <c r="G57" s="184"/>
      <c r="H57" s="184"/>
      <c r="I57" s="184"/>
      <c r="J57" s="184"/>
      <c r="K57" s="184"/>
      <c r="L57" s="184"/>
      <c r="M57" s="185"/>
      <c r="N57" s="185"/>
      <c r="O57" s="186"/>
      <c r="P57" s="187"/>
      <c r="Q57" s="187"/>
      <c r="R57" s="188"/>
      <c r="S57" s="188"/>
      <c r="T57" s="185"/>
      <c r="U57" s="185"/>
      <c r="V57" s="189"/>
      <c r="W57" s="190"/>
      <c r="X57" s="191"/>
      <c r="Y57" s="186"/>
      <c r="Z57" s="192"/>
      <c r="AA57" s="97"/>
      <c r="AB57" s="193"/>
    </row>
    <row r="58" spans="1:28">
      <c r="A58" s="116"/>
      <c r="B58" s="116"/>
      <c r="C58" s="116"/>
      <c r="D58" s="3"/>
      <c r="E58" s="184"/>
      <c r="F58" s="184"/>
      <c r="G58" s="184"/>
      <c r="H58" s="184"/>
      <c r="I58" s="184"/>
      <c r="J58" s="184"/>
      <c r="K58" s="184"/>
      <c r="L58" s="184"/>
      <c r="M58" s="185"/>
      <c r="N58" s="185"/>
      <c r="O58" s="186"/>
      <c r="P58" s="187"/>
      <c r="Q58" s="187"/>
      <c r="R58" s="188"/>
      <c r="S58" s="188"/>
      <c r="T58" s="185"/>
      <c r="U58" s="185"/>
      <c r="V58" s="189"/>
      <c r="W58" s="190"/>
      <c r="X58" s="191"/>
      <c r="Y58" s="186"/>
      <c r="Z58" s="192"/>
      <c r="AA58" s="97"/>
      <c r="AB58" s="193"/>
    </row>
    <row r="59" spans="1:28">
      <c r="A59" s="116"/>
      <c r="B59" s="116"/>
      <c r="C59" s="116"/>
      <c r="D59" s="3"/>
      <c r="E59" s="184"/>
      <c r="F59" s="184"/>
      <c r="G59" s="184"/>
      <c r="H59" s="184"/>
      <c r="I59" s="184"/>
      <c r="J59" s="184"/>
      <c r="K59" s="184"/>
      <c r="L59" s="184"/>
      <c r="M59" s="185"/>
      <c r="N59" s="185"/>
      <c r="O59" s="186"/>
      <c r="P59" s="187"/>
      <c r="Q59" s="187"/>
      <c r="R59" s="188"/>
      <c r="S59" s="188"/>
      <c r="T59" s="185"/>
      <c r="U59" s="185"/>
      <c r="V59" s="189"/>
      <c r="W59" s="190"/>
      <c r="X59" s="191"/>
      <c r="Y59" s="186"/>
      <c r="Z59" s="192"/>
      <c r="AA59" s="97"/>
      <c r="AB59" s="193"/>
    </row>
    <row r="60" spans="1:28">
      <c r="A60" s="116"/>
      <c r="B60" s="116"/>
      <c r="C60" s="116"/>
      <c r="D60" s="3"/>
      <c r="E60" s="184"/>
      <c r="F60" s="184"/>
      <c r="G60" s="184"/>
      <c r="H60" s="184"/>
      <c r="I60" s="184"/>
      <c r="J60" s="184"/>
      <c r="K60" s="184"/>
      <c r="L60" s="184"/>
      <c r="M60" s="185"/>
      <c r="N60" s="185"/>
      <c r="O60" s="186"/>
      <c r="P60" s="187"/>
      <c r="Q60" s="187"/>
      <c r="R60" s="188"/>
      <c r="S60" s="188"/>
      <c r="T60" s="185"/>
      <c r="U60" s="185"/>
      <c r="V60" s="189"/>
      <c r="W60" s="190"/>
      <c r="X60" s="191"/>
      <c r="Y60" s="186"/>
      <c r="Z60" s="192"/>
      <c r="AA60" s="97"/>
      <c r="AB60" s="193"/>
    </row>
    <row r="61" spans="1:28">
      <c r="A61" s="116"/>
      <c r="B61" s="116"/>
      <c r="C61" s="116"/>
      <c r="D61" s="3"/>
      <c r="E61" s="184"/>
      <c r="F61" s="184"/>
      <c r="G61" s="184"/>
      <c r="H61" s="184"/>
      <c r="I61" s="184"/>
      <c r="J61" s="184"/>
      <c r="K61" s="184"/>
      <c r="L61" s="184"/>
      <c r="M61" s="185"/>
      <c r="N61" s="185"/>
      <c r="O61" s="186"/>
      <c r="P61" s="187"/>
      <c r="Q61" s="187"/>
      <c r="R61" s="188"/>
      <c r="S61" s="188"/>
      <c r="T61" s="185"/>
      <c r="U61" s="185"/>
      <c r="V61" s="189"/>
      <c r="W61" s="190"/>
      <c r="X61" s="191"/>
      <c r="Y61" s="186"/>
      <c r="Z61" s="192"/>
      <c r="AA61" s="97"/>
      <c r="AB61" s="193"/>
    </row>
    <row r="62" spans="1:28">
      <c r="A62" s="116"/>
      <c r="B62" s="116"/>
      <c r="C62" s="116"/>
      <c r="D62" s="3"/>
      <c r="E62" s="184"/>
      <c r="F62" s="184"/>
      <c r="G62" s="184"/>
      <c r="H62" s="184"/>
      <c r="I62" s="184"/>
      <c r="J62" s="184"/>
      <c r="K62" s="184"/>
      <c r="L62" s="184"/>
      <c r="M62" s="185"/>
      <c r="N62" s="185"/>
      <c r="O62" s="186"/>
      <c r="P62" s="187"/>
      <c r="Q62" s="187"/>
      <c r="R62" s="188"/>
      <c r="S62" s="188"/>
      <c r="T62" s="185"/>
      <c r="U62" s="185"/>
      <c r="V62" s="189"/>
      <c r="W62" s="190"/>
      <c r="X62" s="191"/>
      <c r="Y62" s="186"/>
      <c r="Z62" s="192"/>
      <c r="AA62" s="97"/>
      <c r="AB62" s="193"/>
    </row>
    <row r="63" spans="1:28">
      <c r="A63" s="116"/>
      <c r="B63" s="116"/>
      <c r="C63" s="116"/>
      <c r="D63" s="3"/>
      <c r="E63" s="184"/>
      <c r="F63" s="184"/>
      <c r="G63" s="184"/>
      <c r="H63" s="184"/>
      <c r="I63" s="184"/>
      <c r="J63" s="184"/>
      <c r="K63" s="184"/>
      <c r="L63" s="184"/>
      <c r="M63" s="185"/>
      <c r="N63" s="185"/>
      <c r="O63" s="186"/>
      <c r="P63" s="187"/>
      <c r="Q63" s="187"/>
      <c r="R63" s="188"/>
      <c r="S63" s="188"/>
      <c r="T63" s="185"/>
      <c r="U63" s="185"/>
      <c r="V63" s="189"/>
      <c r="W63" s="190"/>
      <c r="X63" s="191"/>
      <c r="Y63" s="186"/>
      <c r="Z63" s="192"/>
      <c r="AA63" s="97"/>
      <c r="AB63" s="193"/>
    </row>
    <row r="64" spans="1:28">
      <c r="A64" s="116"/>
      <c r="B64" s="116"/>
      <c r="C64" s="116"/>
      <c r="D64" s="3"/>
      <c r="E64" s="184"/>
      <c r="F64" s="184"/>
      <c r="G64" s="184"/>
      <c r="H64" s="184"/>
      <c r="I64" s="184"/>
      <c r="J64" s="184"/>
      <c r="K64" s="184"/>
      <c r="L64" s="184"/>
      <c r="M64" s="185"/>
      <c r="N64" s="185"/>
      <c r="O64" s="186"/>
      <c r="P64" s="187"/>
      <c r="Q64" s="187"/>
      <c r="R64" s="188"/>
      <c r="S64" s="188"/>
      <c r="T64" s="185"/>
      <c r="U64" s="185"/>
      <c r="V64" s="189"/>
      <c r="W64" s="190"/>
      <c r="X64" s="191"/>
      <c r="Y64" s="186"/>
      <c r="Z64" s="192"/>
      <c r="AA64" s="97"/>
      <c r="AB64" s="193"/>
    </row>
    <row r="65" spans="1:28">
      <c r="A65" s="116"/>
      <c r="B65" s="116"/>
      <c r="C65" s="116"/>
      <c r="D65" s="3"/>
      <c r="E65" s="184"/>
      <c r="F65" s="184"/>
      <c r="G65" s="184"/>
      <c r="H65" s="184"/>
      <c r="I65" s="184"/>
      <c r="J65" s="184"/>
      <c r="K65" s="184"/>
      <c r="L65" s="184"/>
      <c r="M65" s="185"/>
      <c r="N65" s="185"/>
      <c r="O65" s="186"/>
      <c r="P65" s="187"/>
      <c r="Q65" s="187"/>
      <c r="R65" s="188"/>
      <c r="S65" s="188"/>
      <c r="T65" s="185"/>
      <c r="U65" s="185"/>
      <c r="V65" s="189"/>
      <c r="W65" s="190"/>
      <c r="X65" s="191"/>
      <c r="Y65" s="186"/>
      <c r="Z65" s="192"/>
      <c r="AA65" s="97"/>
      <c r="AB65" s="193"/>
    </row>
    <row r="66" spans="1:28">
      <c r="A66" s="116"/>
      <c r="B66" s="116"/>
      <c r="C66" s="116"/>
      <c r="D66" s="3"/>
      <c r="E66" s="184"/>
      <c r="F66" s="184"/>
      <c r="G66" s="184"/>
      <c r="H66" s="184"/>
      <c r="I66" s="184"/>
      <c r="J66" s="184"/>
      <c r="K66" s="184"/>
      <c r="L66" s="184"/>
      <c r="M66" s="185"/>
      <c r="N66" s="185"/>
      <c r="O66" s="186"/>
      <c r="P66" s="187"/>
      <c r="Q66" s="187"/>
      <c r="R66" s="188"/>
      <c r="S66" s="188"/>
      <c r="T66" s="185"/>
      <c r="U66" s="185"/>
      <c r="V66" s="189"/>
      <c r="W66" s="190"/>
      <c r="X66" s="191"/>
      <c r="Y66" s="186"/>
      <c r="Z66" s="192"/>
      <c r="AA66" s="97"/>
      <c r="AB66" s="193"/>
    </row>
    <row r="67" spans="1:28">
      <c r="A67" s="116"/>
      <c r="B67" s="116"/>
      <c r="C67" s="116"/>
      <c r="D67" s="3"/>
      <c r="E67" s="184"/>
      <c r="F67" s="184"/>
      <c r="G67" s="184"/>
      <c r="H67" s="184"/>
      <c r="I67" s="184"/>
      <c r="J67" s="184"/>
      <c r="K67" s="184"/>
      <c r="L67" s="184"/>
      <c r="M67" s="185"/>
      <c r="N67" s="185"/>
      <c r="O67" s="186"/>
      <c r="P67" s="187"/>
      <c r="Q67" s="187"/>
      <c r="R67" s="188"/>
      <c r="S67" s="188"/>
      <c r="T67" s="185"/>
      <c r="U67" s="185"/>
      <c r="V67" s="189"/>
      <c r="W67" s="190"/>
      <c r="X67" s="191"/>
      <c r="Y67" s="186"/>
      <c r="Z67" s="192"/>
      <c r="AA67" s="97"/>
      <c r="AB67" s="193"/>
    </row>
    <row r="68" spans="1:28">
      <c r="A68" s="116"/>
      <c r="B68" s="116"/>
      <c r="C68" s="116"/>
      <c r="D68" s="3"/>
      <c r="E68" s="184"/>
      <c r="F68" s="184"/>
      <c r="G68" s="184"/>
      <c r="H68" s="184"/>
      <c r="I68" s="184"/>
      <c r="J68" s="184"/>
      <c r="K68" s="184"/>
      <c r="L68" s="184"/>
      <c r="M68" s="185"/>
      <c r="N68" s="185"/>
      <c r="O68" s="186"/>
      <c r="P68" s="187"/>
      <c r="Q68" s="187"/>
      <c r="R68" s="188"/>
      <c r="S68" s="188"/>
      <c r="T68" s="185"/>
      <c r="U68" s="185"/>
      <c r="V68" s="189"/>
      <c r="W68" s="190"/>
      <c r="X68" s="191"/>
      <c r="Y68" s="186"/>
      <c r="Z68" s="192"/>
      <c r="AA68" s="97"/>
      <c r="AB68" s="193"/>
    </row>
    <row r="69" spans="1:28">
      <c r="A69" s="116"/>
      <c r="B69" s="116"/>
      <c r="C69" s="116"/>
      <c r="D69" s="3"/>
      <c r="E69" s="184"/>
      <c r="F69" s="184"/>
      <c r="G69" s="184"/>
      <c r="H69" s="184"/>
      <c r="I69" s="184"/>
      <c r="J69" s="184"/>
      <c r="K69" s="184"/>
      <c r="L69" s="184"/>
      <c r="M69" s="185"/>
      <c r="N69" s="185"/>
      <c r="O69" s="186"/>
      <c r="P69" s="187"/>
      <c r="Q69" s="187"/>
      <c r="R69" s="188"/>
      <c r="S69" s="188"/>
      <c r="T69" s="185"/>
      <c r="U69" s="185"/>
      <c r="V69" s="189"/>
      <c r="W69" s="190"/>
      <c r="X69" s="191"/>
      <c r="Y69" s="186"/>
      <c r="Z69" s="192"/>
      <c r="AA69" s="97"/>
      <c r="AB69" s="193"/>
    </row>
    <row r="70" spans="1:28">
      <c r="A70" s="116"/>
      <c r="B70" s="116"/>
      <c r="C70" s="116"/>
      <c r="D70" s="3"/>
      <c r="E70" s="184"/>
      <c r="F70" s="184"/>
      <c r="G70" s="184"/>
      <c r="H70" s="184"/>
      <c r="I70" s="184"/>
      <c r="J70" s="184"/>
      <c r="K70" s="184"/>
      <c r="L70" s="184"/>
      <c r="M70" s="185"/>
      <c r="N70" s="185"/>
      <c r="O70" s="186"/>
      <c r="P70" s="187"/>
      <c r="Q70" s="187"/>
      <c r="R70" s="188"/>
      <c r="S70" s="188"/>
      <c r="T70" s="185"/>
      <c r="U70" s="185"/>
      <c r="V70" s="189"/>
      <c r="W70" s="190"/>
      <c r="X70" s="191"/>
      <c r="Y70" s="186"/>
      <c r="Z70" s="192"/>
      <c r="AA70" s="97"/>
      <c r="AB70" s="193"/>
    </row>
    <row r="71" spans="1:28">
      <c r="A71" s="116"/>
      <c r="B71" s="116"/>
      <c r="C71" s="116"/>
      <c r="D71" s="3"/>
      <c r="E71" s="184"/>
      <c r="F71" s="184"/>
      <c r="G71" s="184"/>
      <c r="H71" s="184"/>
      <c r="I71" s="184"/>
      <c r="J71" s="184"/>
      <c r="K71" s="184"/>
      <c r="L71" s="184"/>
      <c r="M71" s="185"/>
      <c r="N71" s="185"/>
      <c r="O71" s="186"/>
      <c r="P71" s="187"/>
      <c r="Q71" s="187"/>
      <c r="R71" s="188"/>
      <c r="S71" s="188"/>
      <c r="T71" s="185"/>
      <c r="U71" s="185"/>
      <c r="V71" s="189"/>
      <c r="W71" s="190"/>
      <c r="X71" s="191"/>
      <c r="Y71" s="186"/>
      <c r="Z71" s="192"/>
      <c r="AA71" s="97"/>
      <c r="AB71" s="193"/>
    </row>
    <row r="72" spans="1:28">
      <c r="A72" s="116"/>
      <c r="B72" s="116"/>
      <c r="C72" s="116"/>
      <c r="D72" s="3"/>
      <c r="E72" s="184"/>
      <c r="F72" s="184"/>
      <c r="G72" s="184"/>
      <c r="H72" s="184"/>
      <c r="I72" s="184"/>
      <c r="J72" s="184"/>
      <c r="K72" s="184"/>
      <c r="L72" s="184"/>
      <c r="M72" s="185"/>
      <c r="N72" s="185"/>
      <c r="O72" s="186"/>
      <c r="P72" s="187"/>
      <c r="Q72" s="187"/>
      <c r="R72" s="188"/>
      <c r="S72" s="188"/>
      <c r="T72" s="185"/>
      <c r="U72" s="185"/>
      <c r="V72" s="189"/>
      <c r="W72" s="190"/>
      <c r="X72" s="191"/>
      <c r="Y72" s="186"/>
      <c r="Z72" s="192"/>
      <c r="AA72" s="97"/>
      <c r="AB72" s="193"/>
    </row>
    <row r="73" spans="1:28">
      <c r="A73" s="116"/>
      <c r="B73" s="116"/>
      <c r="C73" s="116"/>
      <c r="D73" s="3"/>
      <c r="E73" s="184"/>
      <c r="F73" s="184"/>
      <c r="G73" s="184"/>
      <c r="H73" s="184"/>
      <c r="I73" s="184"/>
      <c r="J73" s="184"/>
      <c r="K73" s="184"/>
      <c r="L73" s="184"/>
      <c r="M73" s="185"/>
      <c r="N73" s="185"/>
      <c r="O73" s="186"/>
      <c r="P73" s="187"/>
      <c r="Q73" s="187"/>
      <c r="R73" s="188"/>
      <c r="S73" s="188"/>
      <c r="T73" s="185"/>
      <c r="U73" s="185"/>
      <c r="V73" s="189"/>
      <c r="W73" s="190"/>
      <c r="X73" s="191"/>
      <c r="Y73" s="186"/>
      <c r="Z73" s="192"/>
      <c r="AA73" s="97"/>
      <c r="AB73" s="193"/>
    </row>
    <row r="74" spans="1:28">
      <c r="A74" s="116"/>
      <c r="B74" s="116"/>
      <c r="C74" s="116"/>
      <c r="D74" s="207"/>
      <c r="E74" s="184"/>
      <c r="F74" s="184"/>
      <c r="G74" s="184"/>
      <c r="H74" s="184"/>
      <c r="I74" s="184"/>
      <c r="J74" s="184"/>
      <c r="K74" s="184"/>
      <c r="L74" s="184"/>
      <c r="M74" s="185"/>
      <c r="N74" s="185"/>
      <c r="O74" s="186"/>
      <c r="P74" s="187"/>
      <c r="Q74" s="187"/>
      <c r="R74" s="188"/>
      <c r="S74" s="188"/>
      <c r="T74" s="185"/>
      <c r="U74" s="185"/>
      <c r="V74" s="189"/>
      <c r="W74" s="190"/>
      <c r="X74" s="191"/>
      <c r="Y74" s="186"/>
      <c r="Z74" s="192"/>
      <c r="AA74" s="97"/>
      <c r="AB74" s="193"/>
    </row>
    <row r="75" spans="1:28">
      <c r="A75" s="116"/>
      <c r="B75" s="116"/>
      <c r="C75" s="116"/>
      <c r="D75" s="3"/>
      <c r="E75" s="184"/>
      <c r="F75" s="184"/>
      <c r="G75" s="184"/>
      <c r="H75" s="184"/>
      <c r="I75" s="184"/>
      <c r="J75" s="184"/>
      <c r="K75" s="184"/>
      <c r="L75" s="184"/>
      <c r="M75" s="185"/>
      <c r="N75" s="185"/>
      <c r="O75" s="186"/>
      <c r="P75" s="187"/>
      <c r="Q75" s="187"/>
      <c r="R75" s="188"/>
      <c r="S75" s="188"/>
      <c r="T75" s="185"/>
      <c r="U75" s="185"/>
      <c r="V75" s="189"/>
      <c r="W75" s="190"/>
      <c r="X75" s="191"/>
      <c r="Y75" s="186"/>
      <c r="Z75" s="192"/>
      <c r="AA75" s="97"/>
      <c r="AB75" s="193"/>
    </row>
    <row r="76" spans="1:28">
      <c r="A76" s="116"/>
      <c r="B76" s="116"/>
      <c r="C76" s="116"/>
      <c r="D76" s="3"/>
      <c r="E76" s="184"/>
      <c r="F76" s="184"/>
      <c r="G76" s="184"/>
      <c r="H76" s="184"/>
      <c r="I76" s="184"/>
      <c r="J76" s="184"/>
      <c r="K76" s="184"/>
      <c r="L76" s="184"/>
      <c r="M76" s="185"/>
      <c r="N76" s="185"/>
      <c r="O76" s="186"/>
      <c r="P76" s="187"/>
      <c r="Q76" s="187"/>
      <c r="R76" s="188"/>
      <c r="S76" s="188"/>
      <c r="T76" s="185"/>
      <c r="U76" s="185"/>
      <c r="V76" s="189"/>
      <c r="W76" s="190"/>
      <c r="X76" s="191"/>
      <c r="Y76" s="186"/>
      <c r="Z76" s="192"/>
      <c r="AA76" s="97"/>
      <c r="AB76" s="193"/>
    </row>
    <row r="77" spans="1:28">
      <c r="A77" s="116"/>
      <c r="B77" s="116"/>
      <c r="C77" s="116"/>
      <c r="D77" s="3"/>
      <c r="E77" s="184"/>
      <c r="F77" s="184"/>
      <c r="G77" s="184"/>
      <c r="H77" s="184"/>
      <c r="I77" s="184"/>
      <c r="J77" s="184"/>
      <c r="K77" s="184"/>
      <c r="L77" s="184"/>
      <c r="M77" s="185"/>
      <c r="N77" s="185"/>
      <c r="O77" s="186"/>
      <c r="P77" s="187"/>
      <c r="Q77" s="187"/>
      <c r="R77" s="188"/>
      <c r="S77" s="188"/>
      <c r="T77" s="185"/>
      <c r="U77" s="185"/>
      <c r="V77" s="189"/>
      <c r="W77" s="190"/>
      <c r="X77" s="191"/>
      <c r="Y77" s="186"/>
      <c r="Z77" s="192"/>
      <c r="AA77" s="97"/>
      <c r="AB77" s="193"/>
    </row>
    <row r="78" spans="1:28">
      <c r="A78" s="116"/>
      <c r="B78" s="116"/>
      <c r="C78" s="116"/>
      <c r="D78" s="3"/>
      <c r="E78" s="184"/>
      <c r="F78" s="184"/>
      <c r="G78" s="184"/>
      <c r="H78" s="184"/>
      <c r="I78" s="184"/>
      <c r="J78" s="184"/>
      <c r="K78" s="184"/>
      <c r="L78" s="184"/>
      <c r="M78" s="185"/>
      <c r="N78" s="185"/>
      <c r="O78" s="186"/>
      <c r="P78" s="187"/>
      <c r="Q78" s="187"/>
      <c r="R78" s="188"/>
      <c r="S78" s="188"/>
      <c r="T78" s="185"/>
      <c r="U78" s="185"/>
      <c r="V78" s="189"/>
      <c r="W78" s="190"/>
      <c r="X78" s="191"/>
      <c r="Y78" s="186"/>
      <c r="Z78" s="192"/>
      <c r="AA78" s="97"/>
      <c r="AB78" s="193"/>
    </row>
    <row r="79" spans="1:28">
      <c r="A79" s="116"/>
      <c r="B79" s="116"/>
      <c r="C79" s="116"/>
      <c r="D79" s="3"/>
      <c r="E79" s="184"/>
      <c r="F79" s="184"/>
      <c r="G79" s="184"/>
      <c r="H79" s="184"/>
      <c r="I79" s="184"/>
      <c r="J79" s="184"/>
      <c r="K79" s="184"/>
      <c r="L79" s="184"/>
      <c r="M79" s="185"/>
      <c r="N79" s="185"/>
      <c r="O79" s="186"/>
      <c r="P79" s="187"/>
      <c r="Q79" s="187"/>
      <c r="R79" s="188"/>
      <c r="S79" s="188"/>
      <c r="T79" s="185"/>
      <c r="U79" s="185"/>
      <c r="V79" s="189"/>
      <c r="W79" s="190"/>
      <c r="X79" s="191"/>
      <c r="Y79" s="186"/>
      <c r="Z79" s="192"/>
      <c r="AA79" s="97"/>
      <c r="AB79" s="193"/>
    </row>
    <row r="80" spans="1:28">
      <c r="A80" s="116"/>
      <c r="B80" s="116"/>
      <c r="C80" s="116"/>
      <c r="D80" s="3"/>
      <c r="E80" s="184"/>
      <c r="F80" s="184"/>
      <c r="G80" s="184"/>
      <c r="H80" s="184"/>
      <c r="I80" s="184"/>
      <c r="J80" s="184"/>
      <c r="K80" s="184"/>
      <c r="L80" s="184"/>
      <c r="M80" s="185"/>
      <c r="N80" s="185"/>
      <c r="O80" s="186"/>
      <c r="P80" s="187"/>
      <c r="Q80" s="187"/>
      <c r="R80" s="188"/>
      <c r="S80" s="188"/>
      <c r="T80" s="185"/>
      <c r="U80" s="185"/>
      <c r="V80" s="189"/>
      <c r="W80" s="190"/>
      <c r="X80" s="191"/>
      <c r="Y80" s="186"/>
      <c r="Z80" s="192"/>
      <c r="AA80" s="97"/>
      <c r="AB80" s="193"/>
    </row>
    <row r="81" spans="1:28">
      <c r="A81" s="116"/>
      <c r="B81" s="116"/>
      <c r="C81" s="116"/>
      <c r="D81" s="3"/>
      <c r="E81" s="184"/>
      <c r="F81" s="184"/>
      <c r="G81" s="184"/>
      <c r="H81" s="184"/>
      <c r="I81" s="184"/>
      <c r="J81" s="184"/>
      <c r="K81" s="184"/>
      <c r="L81" s="184"/>
      <c r="M81" s="185"/>
      <c r="N81" s="185"/>
      <c r="O81" s="186"/>
      <c r="P81" s="187"/>
      <c r="Q81" s="187"/>
      <c r="R81" s="188"/>
      <c r="S81" s="188"/>
      <c r="T81" s="185"/>
      <c r="U81" s="185"/>
      <c r="V81" s="189"/>
      <c r="W81" s="190"/>
      <c r="X81" s="191"/>
      <c r="Y81" s="186"/>
      <c r="Z81" s="192"/>
      <c r="AA81" s="97"/>
      <c r="AB81" s="193"/>
    </row>
    <row r="82" spans="1:28">
      <c r="A82" s="116"/>
      <c r="B82" s="116"/>
      <c r="C82" s="116"/>
      <c r="D82" s="3"/>
      <c r="E82" s="184"/>
      <c r="F82" s="184"/>
      <c r="G82" s="184"/>
      <c r="H82" s="184"/>
      <c r="I82" s="184"/>
      <c r="J82" s="184"/>
      <c r="K82" s="184"/>
      <c r="L82" s="184"/>
      <c r="M82" s="185"/>
      <c r="N82" s="185"/>
      <c r="O82" s="186"/>
      <c r="P82" s="187"/>
      <c r="Q82" s="187"/>
      <c r="R82" s="188"/>
      <c r="S82" s="188"/>
      <c r="T82" s="185"/>
      <c r="U82" s="185"/>
      <c r="V82" s="189"/>
      <c r="W82" s="190"/>
      <c r="X82" s="191"/>
      <c r="Y82" s="186"/>
      <c r="Z82" s="192"/>
      <c r="AA82" s="97"/>
      <c r="AB82" s="193"/>
    </row>
    <row r="83" spans="1:28">
      <c r="A83" s="116"/>
      <c r="B83" s="116"/>
      <c r="C83" s="116"/>
      <c r="D83" s="3"/>
      <c r="E83" s="184"/>
      <c r="F83" s="184"/>
      <c r="G83" s="184"/>
      <c r="H83" s="184"/>
      <c r="I83" s="184"/>
      <c r="J83" s="184"/>
      <c r="K83" s="184"/>
      <c r="L83" s="184"/>
      <c r="M83" s="185"/>
      <c r="N83" s="185"/>
      <c r="O83" s="186"/>
      <c r="P83" s="187"/>
      <c r="Q83" s="187"/>
      <c r="R83" s="188"/>
      <c r="S83" s="188"/>
      <c r="T83" s="185"/>
      <c r="U83" s="185"/>
      <c r="V83" s="189"/>
      <c r="W83" s="190"/>
      <c r="X83" s="191"/>
      <c r="Y83" s="186"/>
      <c r="Z83" s="192"/>
      <c r="AA83" s="97"/>
      <c r="AB83" s="193"/>
    </row>
    <row r="84" spans="1:28">
      <c r="A84" s="116"/>
      <c r="B84" s="116"/>
      <c r="C84" s="116"/>
      <c r="D84" s="3"/>
      <c r="E84" s="184"/>
      <c r="F84" s="184"/>
      <c r="G84" s="184"/>
      <c r="H84" s="184"/>
      <c r="I84" s="184"/>
      <c r="J84" s="184"/>
      <c r="K84" s="184"/>
      <c r="L84" s="184"/>
      <c r="M84" s="185"/>
      <c r="N84" s="185"/>
      <c r="O84" s="186"/>
      <c r="P84" s="187"/>
      <c r="Q84" s="187"/>
      <c r="R84" s="188"/>
      <c r="S84" s="188"/>
      <c r="T84" s="185"/>
      <c r="U84" s="185"/>
      <c r="V84" s="189"/>
      <c r="W84" s="190"/>
      <c r="X84" s="191"/>
      <c r="Y84" s="186"/>
      <c r="Z84" s="192"/>
      <c r="AA84" s="97"/>
      <c r="AB84" s="193"/>
    </row>
    <row r="85" spans="1:28">
      <c r="A85" s="116"/>
      <c r="B85" s="116"/>
      <c r="C85" s="116"/>
      <c r="D85" s="3"/>
      <c r="E85" s="184"/>
      <c r="F85" s="184"/>
      <c r="G85" s="184"/>
      <c r="H85" s="184"/>
      <c r="I85" s="184"/>
      <c r="J85" s="184"/>
      <c r="K85" s="184"/>
      <c r="L85" s="184"/>
      <c r="M85" s="185"/>
      <c r="N85" s="185"/>
      <c r="O85" s="186"/>
      <c r="P85" s="187"/>
      <c r="Q85" s="187"/>
      <c r="R85" s="188"/>
      <c r="S85" s="188"/>
      <c r="T85" s="185"/>
      <c r="U85" s="185"/>
      <c r="V85" s="189"/>
      <c r="W85" s="190"/>
      <c r="X85" s="191"/>
      <c r="Y85" s="186"/>
      <c r="Z85" s="192"/>
      <c r="AA85" s="97"/>
      <c r="AB85" s="193"/>
    </row>
    <row r="86" spans="1:28">
      <c r="A86" s="116"/>
      <c r="B86" s="116"/>
      <c r="C86" s="116"/>
      <c r="D86" s="3"/>
      <c r="E86" s="184"/>
      <c r="F86" s="184"/>
      <c r="G86" s="184"/>
      <c r="H86" s="184"/>
      <c r="I86" s="184"/>
      <c r="J86" s="184"/>
      <c r="K86" s="184"/>
      <c r="L86" s="184"/>
      <c r="M86" s="185"/>
      <c r="N86" s="185"/>
      <c r="O86" s="186"/>
      <c r="P86" s="187"/>
      <c r="Q86" s="187"/>
      <c r="R86" s="188"/>
      <c r="S86" s="188"/>
      <c r="T86" s="185"/>
      <c r="U86" s="185"/>
      <c r="V86" s="189"/>
      <c r="W86" s="190"/>
      <c r="X86" s="191"/>
      <c r="Y86" s="186"/>
      <c r="Z86" s="192"/>
      <c r="AA86" s="97"/>
      <c r="AB86" s="193"/>
    </row>
    <row r="87" spans="1:28">
      <c r="A87" s="116"/>
      <c r="B87" s="116"/>
      <c r="C87" s="116"/>
      <c r="D87" s="3"/>
      <c r="E87" s="184"/>
      <c r="F87" s="184"/>
      <c r="G87" s="184"/>
      <c r="H87" s="184"/>
      <c r="I87" s="184"/>
      <c r="J87" s="184"/>
      <c r="K87" s="184"/>
      <c r="L87" s="184"/>
      <c r="M87" s="185"/>
      <c r="N87" s="185"/>
      <c r="O87" s="186"/>
      <c r="P87" s="187"/>
      <c r="Q87" s="187"/>
      <c r="R87" s="188"/>
      <c r="S87" s="188"/>
      <c r="T87" s="185"/>
      <c r="U87" s="185"/>
      <c r="V87" s="189"/>
      <c r="W87" s="190"/>
      <c r="X87" s="191"/>
      <c r="Y87" s="186"/>
      <c r="Z87" s="192"/>
      <c r="AA87" s="97"/>
      <c r="AB87" s="193"/>
    </row>
    <row r="88" spans="1:28">
      <c r="A88" s="116"/>
      <c r="B88" s="116"/>
      <c r="C88" s="116"/>
      <c r="D88" s="3"/>
      <c r="E88" s="184"/>
      <c r="F88" s="184"/>
      <c r="G88" s="184"/>
      <c r="H88" s="184"/>
      <c r="I88" s="184"/>
      <c r="J88" s="184"/>
      <c r="K88" s="184"/>
      <c r="L88" s="184"/>
      <c r="M88" s="185"/>
      <c r="N88" s="185"/>
      <c r="O88" s="186"/>
      <c r="P88" s="187"/>
      <c r="Q88" s="187"/>
      <c r="R88" s="188"/>
      <c r="S88" s="188"/>
      <c r="T88" s="185"/>
      <c r="U88" s="185"/>
      <c r="V88" s="189"/>
      <c r="W88" s="190"/>
      <c r="X88" s="191"/>
      <c r="Y88" s="186"/>
      <c r="Z88" s="192"/>
      <c r="AA88" s="97"/>
      <c r="AB88" s="193"/>
    </row>
    <row r="89" spans="1:28">
      <c r="A89" s="116"/>
      <c r="B89" s="116"/>
      <c r="C89" s="116"/>
      <c r="D89" s="3"/>
      <c r="E89" s="184"/>
      <c r="F89" s="184"/>
      <c r="G89" s="184"/>
      <c r="H89" s="184"/>
      <c r="I89" s="184"/>
      <c r="J89" s="184"/>
      <c r="K89" s="184"/>
      <c r="L89" s="184"/>
      <c r="M89" s="185"/>
      <c r="N89" s="185"/>
      <c r="O89" s="186"/>
      <c r="P89" s="187"/>
      <c r="Q89" s="187"/>
      <c r="R89" s="188"/>
      <c r="S89" s="188"/>
      <c r="T89" s="185"/>
      <c r="U89" s="185"/>
      <c r="V89" s="189"/>
      <c r="W89" s="190"/>
      <c r="X89" s="191"/>
      <c r="Y89" s="186"/>
      <c r="Z89" s="192"/>
      <c r="AA89" s="97"/>
      <c r="AB89" s="193"/>
    </row>
    <row r="90" spans="1:28">
      <c r="A90" s="116"/>
      <c r="B90" s="116"/>
      <c r="C90" s="116"/>
      <c r="D90" s="3"/>
      <c r="E90" s="184"/>
      <c r="F90" s="184"/>
      <c r="G90" s="184"/>
      <c r="H90" s="184"/>
      <c r="I90" s="184"/>
      <c r="J90" s="184"/>
      <c r="K90" s="184"/>
      <c r="L90" s="184"/>
      <c r="M90" s="185"/>
      <c r="N90" s="185"/>
      <c r="O90" s="186"/>
      <c r="P90" s="187"/>
      <c r="Q90" s="187"/>
      <c r="R90" s="188"/>
      <c r="S90" s="188"/>
      <c r="T90" s="185"/>
      <c r="U90" s="185"/>
      <c r="V90" s="189"/>
      <c r="W90" s="190"/>
      <c r="X90" s="191"/>
      <c r="Y90" s="186"/>
      <c r="Z90" s="192"/>
      <c r="AA90" s="97"/>
      <c r="AB90" s="193"/>
    </row>
    <row r="91" spans="1:28">
      <c r="A91" s="116"/>
      <c r="B91" s="116"/>
      <c r="C91" s="116"/>
      <c r="D91" s="3"/>
      <c r="E91" s="184"/>
      <c r="F91" s="184"/>
      <c r="G91" s="184"/>
      <c r="H91" s="184"/>
      <c r="I91" s="184"/>
      <c r="J91" s="184"/>
      <c r="K91" s="184"/>
      <c r="L91" s="184"/>
      <c r="M91" s="185"/>
      <c r="N91" s="185"/>
      <c r="O91" s="186"/>
      <c r="P91" s="187"/>
      <c r="Q91" s="187"/>
      <c r="R91" s="188"/>
      <c r="S91" s="188"/>
      <c r="T91" s="185"/>
      <c r="U91" s="185"/>
      <c r="V91" s="189"/>
      <c r="W91" s="190"/>
      <c r="X91" s="191"/>
      <c r="Y91" s="186"/>
      <c r="Z91" s="192"/>
      <c r="AA91" s="97"/>
      <c r="AB91" s="193"/>
    </row>
    <row r="92" spans="1:28">
      <c r="A92" s="116"/>
      <c r="B92" s="116"/>
      <c r="C92" s="116"/>
      <c r="D92" s="3"/>
      <c r="E92" s="184"/>
      <c r="F92" s="184"/>
      <c r="G92" s="184"/>
      <c r="H92" s="184"/>
      <c r="I92" s="184"/>
      <c r="J92" s="184"/>
      <c r="K92" s="184"/>
      <c r="L92" s="184"/>
      <c r="M92" s="185"/>
      <c r="N92" s="185"/>
      <c r="O92" s="186"/>
      <c r="P92" s="187"/>
      <c r="Q92" s="187"/>
      <c r="R92" s="188"/>
      <c r="S92" s="188"/>
      <c r="T92" s="185"/>
      <c r="U92" s="185"/>
      <c r="V92" s="189"/>
      <c r="W92" s="190"/>
      <c r="X92" s="191"/>
      <c r="Y92" s="186"/>
      <c r="Z92" s="192"/>
      <c r="AA92" s="97"/>
      <c r="AB92" s="193"/>
    </row>
    <row r="93" spans="1:28">
      <c r="A93" s="116"/>
      <c r="B93" s="116"/>
      <c r="C93" s="116"/>
      <c r="D93" s="3"/>
      <c r="E93" s="184"/>
      <c r="F93" s="184"/>
      <c r="G93" s="184"/>
      <c r="H93" s="184"/>
      <c r="I93" s="184"/>
      <c r="J93" s="184"/>
      <c r="K93" s="184"/>
      <c r="L93" s="184"/>
      <c r="M93" s="185"/>
      <c r="N93" s="185"/>
      <c r="O93" s="186"/>
      <c r="P93" s="187"/>
      <c r="Q93" s="187"/>
      <c r="R93" s="188"/>
      <c r="S93" s="188"/>
      <c r="T93" s="185"/>
      <c r="U93" s="185"/>
      <c r="V93" s="189"/>
      <c r="W93" s="190"/>
      <c r="X93" s="191"/>
      <c r="Y93" s="186"/>
      <c r="Z93" s="192"/>
      <c r="AA93" s="97"/>
      <c r="AB93" s="193"/>
    </row>
    <row r="94" spans="1:28">
      <c r="A94" s="116"/>
      <c r="B94" s="116"/>
      <c r="C94" s="116"/>
      <c r="D94" s="3"/>
      <c r="E94" s="184"/>
      <c r="F94" s="184"/>
      <c r="G94" s="184"/>
      <c r="H94" s="184"/>
      <c r="I94" s="184"/>
      <c r="J94" s="184"/>
      <c r="K94" s="184"/>
      <c r="L94" s="184"/>
      <c r="M94" s="185"/>
      <c r="N94" s="185"/>
      <c r="O94" s="186"/>
      <c r="P94" s="187"/>
      <c r="Q94" s="187"/>
      <c r="R94" s="188"/>
      <c r="S94" s="188"/>
      <c r="T94" s="185"/>
      <c r="U94" s="185"/>
      <c r="V94" s="189"/>
      <c r="W94" s="190"/>
      <c r="X94" s="191"/>
      <c r="Y94" s="186"/>
      <c r="Z94" s="192"/>
      <c r="AA94" s="97"/>
      <c r="AB94" s="193"/>
    </row>
    <row r="95" spans="1:28">
      <c r="A95" s="116"/>
      <c r="B95" s="116"/>
      <c r="C95" s="116"/>
      <c r="D95" s="3"/>
      <c r="E95" s="184"/>
      <c r="F95" s="184"/>
      <c r="G95" s="184"/>
      <c r="H95" s="184"/>
      <c r="I95" s="184"/>
      <c r="J95" s="184"/>
      <c r="K95" s="184"/>
      <c r="L95" s="184"/>
      <c r="M95" s="185"/>
      <c r="N95" s="185"/>
      <c r="O95" s="186"/>
      <c r="P95" s="187"/>
      <c r="Q95" s="187"/>
      <c r="R95" s="188"/>
      <c r="S95" s="188"/>
      <c r="T95" s="185"/>
      <c r="U95" s="185"/>
      <c r="V95" s="189"/>
      <c r="W95" s="190"/>
      <c r="X95" s="191"/>
      <c r="Y95" s="186"/>
      <c r="Z95" s="192"/>
      <c r="AA95" s="97"/>
      <c r="AB95" s="193"/>
    </row>
    <row r="96" spans="1:28">
      <c r="A96" s="116"/>
      <c r="B96" s="116"/>
      <c r="C96" s="116"/>
      <c r="D96" s="3"/>
      <c r="E96" s="184"/>
      <c r="F96" s="184"/>
      <c r="G96" s="184"/>
      <c r="H96" s="184"/>
      <c r="I96" s="184"/>
      <c r="J96" s="184"/>
      <c r="K96" s="184"/>
      <c r="L96" s="184"/>
      <c r="M96" s="185"/>
      <c r="N96" s="185"/>
      <c r="O96" s="186"/>
      <c r="P96" s="187"/>
      <c r="Q96" s="187"/>
      <c r="R96" s="188"/>
      <c r="S96" s="188"/>
      <c r="T96" s="185"/>
      <c r="U96" s="185"/>
      <c r="V96" s="189"/>
      <c r="W96" s="190"/>
      <c r="X96" s="191"/>
      <c r="Y96" s="186"/>
      <c r="Z96" s="192"/>
      <c r="AA96" s="97"/>
      <c r="AB96" s="193"/>
    </row>
    <row r="97" spans="1:28">
      <c r="A97" s="116"/>
      <c r="B97" s="116"/>
      <c r="C97" s="116"/>
      <c r="D97" s="3"/>
      <c r="E97" s="184"/>
      <c r="F97" s="184"/>
      <c r="G97" s="184"/>
      <c r="H97" s="184"/>
      <c r="I97" s="184"/>
      <c r="J97" s="184"/>
      <c r="K97" s="184"/>
      <c r="L97" s="184"/>
      <c r="M97" s="185"/>
      <c r="N97" s="185"/>
      <c r="O97" s="186"/>
      <c r="P97" s="187"/>
      <c r="Q97" s="187"/>
      <c r="R97" s="188"/>
      <c r="S97" s="188"/>
      <c r="T97" s="185"/>
      <c r="U97" s="185"/>
      <c r="V97" s="189"/>
      <c r="W97" s="190"/>
      <c r="X97" s="191"/>
      <c r="Y97" s="186"/>
      <c r="Z97" s="192"/>
      <c r="AA97" s="97"/>
      <c r="AB97" s="193"/>
    </row>
    <row r="98" spans="1:28">
      <c r="A98" s="116"/>
      <c r="B98" s="116"/>
      <c r="C98" s="116"/>
      <c r="D98" s="3"/>
      <c r="E98" s="184"/>
      <c r="F98" s="184"/>
      <c r="G98" s="184"/>
      <c r="H98" s="184"/>
      <c r="I98" s="184"/>
      <c r="J98" s="184"/>
      <c r="K98" s="184"/>
      <c r="L98" s="184"/>
      <c r="M98" s="185"/>
      <c r="N98" s="185"/>
      <c r="O98" s="186"/>
      <c r="P98" s="187"/>
      <c r="Q98" s="187"/>
      <c r="R98" s="188"/>
      <c r="S98" s="188"/>
      <c r="T98" s="185"/>
      <c r="U98" s="185"/>
      <c r="V98" s="189"/>
      <c r="W98" s="190"/>
      <c r="X98" s="191"/>
      <c r="Y98" s="186"/>
      <c r="Z98" s="192"/>
      <c r="AA98" s="97"/>
      <c r="AB98" s="193"/>
    </row>
    <row r="99" spans="1:28">
      <c r="A99" s="116"/>
      <c r="B99" s="116"/>
      <c r="C99" s="116"/>
      <c r="D99" s="3"/>
      <c r="E99" s="184"/>
      <c r="F99" s="184"/>
      <c r="G99" s="184"/>
      <c r="H99" s="184"/>
      <c r="I99" s="184"/>
      <c r="J99" s="184"/>
      <c r="K99" s="184"/>
      <c r="L99" s="184"/>
      <c r="M99" s="185"/>
      <c r="N99" s="185"/>
      <c r="O99" s="186"/>
      <c r="P99" s="187"/>
      <c r="Q99" s="187"/>
      <c r="R99" s="188"/>
      <c r="S99" s="188"/>
      <c r="T99" s="185"/>
      <c r="U99" s="185"/>
      <c r="V99" s="189"/>
      <c r="W99" s="190"/>
      <c r="X99" s="191"/>
      <c r="Y99" s="186"/>
      <c r="Z99" s="192"/>
      <c r="AA99" s="97"/>
      <c r="AB99" s="193"/>
    </row>
    <row r="100" spans="1:28">
      <c r="A100" s="116"/>
      <c r="B100" s="116"/>
      <c r="C100" s="116"/>
      <c r="D100" s="3"/>
      <c r="E100" s="184"/>
      <c r="F100" s="184"/>
      <c r="G100" s="184"/>
      <c r="H100" s="184"/>
      <c r="I100" s="184"/>
      <c r="J100" s="184"/>
      <c r="K100" s="184"/>
      <c r="L100" s="184"/>
      <c r="M100" s="185"/>
      <c r="N100" s="185"/>
      <c r="O100" s="186"/>
      <c r="P100" s="187"/>
      <c r="Q100" s="187"/>
      <c r="R100" s="188"/>
      <c r="S100" s="188"/>
      <c r="T100" s="185"/>
      <c r="U100" s="185"/>
      <c r="V100" s="189"/>
      <c r="W100" s="190"/>
      <c r="X100" s="191"/>
      <c r="Y100" s="186"/>
      <c r="Z100" s="192"/>
      <c r="AA100" s="97"/>
      <c r="AB100" s="193"/>
    </row>
    <row r="101" spans="1:28">
      <c r="A101" s="116"/>
      <c r="B101" s="116"/>
      <c r="C101" s="116"/>
      <c r="D101" s="3"/>
      <c r="E101" s="184"/>
      <c r="F101" s="184"/>
      <c r="G101" s="184"/>
      <c r="H101" s="184"/>
      <c r="I101" s="184"/>
      <c r="J101" s="184"/>
      <c r="K101" s="184"/>
      <c r="L101" s="184"/>
      <c r="M101" s="185"/>
      <c r="N101" s="185"/>
      <c r="O101" s="186"/>
      <c r="P101" s="187"/>
      <c r="Q101" s="187"/>
      <c r="R101" s="188"/>
      <c r="S101" s="188"/>
      <c r="T101" s="185"/>
      <c r="U101" s="185"/>
      <c r="V101" s="189"/>
      <c r="W101" s="190"/>
      <c r="X101" s="191"/>
      <c r="Y101" s="186"/>
      <c r="Z101" s="192"/>
      <c r="AA101" s="97"/>
      <c r="AB101" s="193"/>
    </row>
    <row r="102" spans="1:28">
      <c r="A102" s="116"/>
      <c r="B102" s="116"/>
      <c r="C102" s="116"/>
      <c r="D102" s="3"/>
      <c r="E102" s="184"/>
      <c r="F102" s="184"/>
      <c r="G102" s="184"/>
      <c r="H102" s="184"/>
      <c r="I102" s="184"/>
      <c r="J102" s="184"/>
      <c r="K102" s="184"/>
      <c r="L102" s="184"/>
      <c r="M102" s="185"/>
      <c r="N102" s="185"/>
      <c r="O102" s="186"/>
      <c r="P102" s="187"/>
      <c r="Q102" s="187"/>
      <c r="R102" s="188"/>
      <c r="S102" s="188"/>
      <c r="T102" s="185"/>
      <c r="U102" s="185"/>
      <c r="V102" s="189"/>
      <c r="W102" s="190"/>
      <c r="X102" s="191"/>
      <c r="Y102" s="186"/>
      <c r="Z102" s="192"/>
      <c r="AA102" s="97"/>
      <c r="AB102" s="193"/>
    </row>
    <row r="103" spans="1:28">
      <c r="A103" s="116"/>
      <c r="B103" s="116"/>
      <c r="C103" s="116"/>
      <c r="D103" s="3"/>
      <c r="E103" s="184"/>
      <c r="F103" s="184"/>
      <c r="G103" s="184"/>
      <c r="H103" s="184"/>
      <c r="I103" s="184"/>
      <c r="J103" s="184"/>
      <c r="K103" s="184"/>
      <c r="L103" s="184"/>
      <c r="M103" s="185"/>
      <c r="N103" s="185"/>
      <c r="O103" s="186"/>
      <c r="P103" s="187"/>
      <c r="Q103" s="187"/>
      <c r="R103" s="188"/>
      <c r="S103" s="188"/>
      <c r="T103" s="185"/>
      <c r="U103" s="185"/>
      <c r="V103" s="189"/>
      <c r="W103" s="190"/>
      <c r="X103" s="191"/>
      <c r="Y103" s="186"/>
      <c r="Z103" s="192"/>
      <c r="AA103" s="97"/>
      <c r="AB103" s="193"/>
    </row>
    <row r="104" spans="1:28">
      <c r="A104" s="116"/>
      <c r="B104" s="116"/>
      <c r="C104" s="116"/>
      <c r="D104" s="3"/>
      <c r="E104" s="184"/>
      <c r="F104" s="184"/>
      <c r="G104" s="184"/>
      <c r="H104" s="184"/>
      <c r="I104" s="184"/>
      <c r="J104" s="184"/>
      <c r="K104" s="184"/>
      <c r="L104" s="184"/>
      <c r="M104" s="185"/>
      <c r="N104" s="185"/>
      <c r="O104" s="186"/>
      <c r="P104" s="187"/>
      <c r="Q104" s="187"/>
      <c r="R104" s="188"/>
      <c r="S104" s="188"/>
      <c r="T104" s="185"/>
      <c r="U104" s="185"/>
      <c r="V104" s="189"/>
      <c r="W104" s="190"/>
      <c r="X104" s="191"/>
      <c r="Y104" s="186"/>
      <c r="Z104" s="192"/>
      <c r="AA104" s="97"/>
      <c r="AB104" s="193"/>
    </row>
    <row r="105" spans="1:28">
      <c r="A105" s="116"/>
      <c r="B105" s="116"/>
      <c r="C105" s="116"/>
      <c r="D105" s="3"/>
      <c r="E105" s="184"/>
      <c r="F105" s="184"/>
      <c r="G105" s="184"/>
      <c r="H105" s="184"/>
      <c r="I105" s="184"/>
      <c r="J105" s="184"/>
      <c r="K105" s="184"/>
      <c r="L105" s="184"/>
      <c r="M105" s="185"/>
      <c r="N105" s="185"/>
      <c r="O105" s="186"/>
      <c r="P105" s="187"/>
      <c r="Q105" s="187"/>
      <c r="R105" s="188"/>
      <c r="S105" s="188"/>
      <c r="T105" s="185"/>
      <c r="U105" s="185"/>
      <c r="V105" s="189"/>
      <c r="W105" s="190"/>
      <c r="X105" s="191"/>
      <c r="Y105" s="186"/>
      <c r="Z105" s="192"/>
      <c r="AA105" s="97"/>
      <c r="AB105" s="193"/>
    </row>
    <row r="106" spans="1:28">
      <c r="A106" s="116"/>
      <c r="B106" s="116"/>
      <c r="C106" s="116"/>
      <c r="D106" s="3"/>
      <c r="E106" s="184"/>
      <c r="F106" s="184"/>
      <c r="G106" s="184"/>
      <c r="H106" s="184"/>
      <c r="I106" s="184"/>
      <c r="J106" s="184"/>
      <c r="K106" s="184"/>
      <c r="L106" s="184"/>
      <c r="M106" s="185"/>
      <c r="N106" s="185"/>
      <c r="O106" s="186"/>
      <c r="P106" s="187"/>
      <c r="Q106" s="187"/>
      <c r="R106" s="188"/>
      <c r="S106" s="188"/>
      <c r="T106" s="185"/>
      <c r="U106" s="185"/>
      <c r="V106" s="189"/>
      <c r="W106" s="190"/>
      <c r="X106" s="191"/>
      <c r="Y106" s="186"/>
      <c r="Z106" s="192"/>
      <c r="AA106" s="97"/>
      <c r="AB106" s="193"/>
    </row>
    <row r="107" spans="1:28">
      <c r="A107" s="116"/>
      <c r="B107" s="116"/>
      <c r="C107" s="116"/>
      <c r="D107" s="3"/>
      <c r="E107" s="184"/>
      <c r="F107" s="184"/>
      <c r="G107" s="184"/>
      <c r="H107" s="184"/>
      <c r="I107" s="184"/>
      <c r="J107" s="184"/>
      <c r="K107" s="184"/>
      <c r="L107" s="184"/>
      <c r="M107" s="185"/>
      <c r="N107" s="185"/>
      <c r="O107" s="186"/>
      <c r="P107" s="187"/>
      <c r="Q107" s="187"/>
      <c r="R107" s="188"/>
      <c r="S107" s="188"/>
      <c r="T107" s="185"/>
      <c r="U107" s="185"/>
      <c r="V107" s="189"/>
      <c r="W107" s="190"/>
      <c r="X107" s="191"/>
      <c r="Y107" s="186"/>
      <c r="Z107" s="192"/>
      <c r="AA107" s="97"/>
      <c r="AB107" s="193"/>
    </row>
    <row r="108" spans="1:28">
      <c r="A108" s="116"/>
      <c r="B108" s="116"/>
      <c r="C108" s="116"/>
      <c r="D108" s="3"/>
      <c r="E108" s="184"/>
      <c r="F108" s="184"/>
      <c r="G108" s="184"/>
      <c r="H108" s="184"/>
      <c r="I108" s="184"/>
      <c r="J108" s="184"/>
      <c r="K108" s="184"/>
      <c r="L108" s="184"/>
      <c r="M108" s="185"/>
      <c r="N108" s="185"/>
      <c r="O108" s="186"/>
      <c r="P108" s="187"/>
      <c r="Q108" s="187"/>
      <c r="R108" s="188"/>
      <c r="S108" s="188"/>
      <c r="T108" s="185"/>
      <c r="U108" s="185"/>
      <c r="V108" s="189"/>
      <c r="W108" s="190"/>
      <c r="X108" s="191"/>
      <c r="Y108" s="186"/>
      <c r="Z108" s="192"/>
      <c r="AA108" s="97"/>
      <c r="AB108" s="193"/>
    </row>
    <row r="109" spans="1:28">
      <c r="A109" s="116"/>
      <c r="B109" s="116"/>
      <c r="C109" s="116"/>
      <c r="D109" s="3"/>
      <c r="E109" s="184"/>
      <c r="F109" s="184"/>
      <c r="G109" s="184"/>
      <c r="H109" s="184"/>
      <c r="I109" s="184"/>
      <c r="J109" s="184"/>
      <c r="K109" s="184"/>
      <c r="L109" s="184"/>
      <c r="M109" s="185"/>
      <c r="N109" s="185"/>
      <c r="O109" s="186"/>
      <c r="P109" s="187"/>
      <c r="Q109" s="187"/>
      <c r="R109" s="188"/>
      <c r="S109" s="188"/>
      <c r="T109" s="185"/>
      <c r="U109" s="185"/>
      <c r="V109" s="189"/>
      <c r="W109" s="190"/>
      <c r="X109" s="191"/>
      <c r="Y109" s="186"/>
      <c r="Z109" s="192"/>
      <c r="AA109" s="97"/>
      <c r="AB109" s="193"/>
    </row>
    <row r="110" spans="1:28">
      <c r="A110" s="116"/>
      <c r="B110" s="116"/>
      <c r="C110" s="116"/>
      <c r="D110" s="3"/>
      <c r="E110" s="184"/>
      <c r="F110" s="184"/>
      <c r="G110" s="184"/>
      <c r="H110" s="184"/>
      <c r="I110" s="184"/>
      <c r="J110" s="184"/>
      <c r="K110" s="184"/>
      <c r="L110" s="184"/>
      <c r="M110" s="185"/>
      <c r="N110" s="185"/>
      <c r="O110" s="186"/>
      <c r="P110" s="187"/>
      <c r="Q110" s="187"/>
      <c r="R110" s="188"/>
      <c r="S110" s="188"/>
      <c r="T110" s="185"/>
      <c r="U110" s="185"/>
      <c r="V110" s="189"/>
      <c r="W110" s="190"/>
      <c r="X110" s="191"/>
      <c r="Y110" s="186"/>
      <c r="Z110" s="192"/>
      <c r="AA110" s="97"/>
      <c r="AB110" s="193"/>
    </row>
    <row r="111" spans="1:28">
      <c r="A111" s="116"/>
      <c r="B111" s="116"/>
      <c r="C111" s="116"/>
      <c r="D111" s="3"/>
      <c r="E111" s="184"/>
      <c r="F111" s="184"/>
      <c r="G111" s="184"/>
      <c r="H111" s="184"/>
      <c r="I111" s="184"/>
      <c r="J111" s="184"/>
      <c r="K111" s="184"/>
      <c r="L111" s="184"/>
      <c r="M111" s="185"/>
      <c r="N111" s="185"/>
      <c r="O111" s="186"/>
      <c r="P111" s="187"/>
      <c r="Q111" s="187"/>
      <c r="R111" s="188"/>
      <c r="S111" s="188"/>
      <c r="T111" s="185"/>
      <c r="U111" s="185"/>
      <c r="V111" s="189"/>
      <c r="W111" s="190"/>
      <c r="X111" s="191"/>
      <c r="Y111" s="186"/>
      <c r="Z111" s="192"/>
      <c r="AA111" s="97"/>
      <c r="AB111" s="193"/>
    </row>
    <row r="112" spans="1:28">
      <c r="A112" s="116"/>
      <c r="B112" s="116"/>
      <c r="C112" s="116"/>
      <c r="D112" s="3"/>
      <c r="E112" s="184"/>
      <c r="F112" s="184"/>
      <c r="G112" s="184"/>
      <c r="H112" s="184"/>
      <c r="I112" s="184"/>
      <c r="J112" s="184"/>
      <c r="K112" s="184"/>
      <c r="L112" s="184"/>
      <c r="M112" s="185"/>
      <c r="N112" s="185"/>
      <c r="O112" s="186"/>
      <c r="P112" s="187"/>
      <c r="Q112" s="187"/>
      <c r="R112" s="188"/>
      <c r="S112" s="188"/>
      <c r="T112" s="185"/>
      <c r="U112" s="185"/>
      <c r="V112" s="189"/>
      <c r="W112" s="190"/>
      <c r="X112" s="191"/>
      <c r="Y112" s="186"/>
      <c r="Z112" s="192"/>
      <c r="AA112" s="97"/>
      <c r="AB112" s="193"/>
    </row>
    <row r="113" spans="1:28">
      <c r="A113" s="116"/>
      <c r="B113" s="116"/>
      <c r="C113" s="116"/>
      <c r="D113" s="3"/>
      <c r="E113" s="184"/>
      <c r="F113" s="184"/>
      <c r="G113" s="184"/>
      <c r="H113" s="184"/>
      <c r="I113" s="184"/>
      <c r="J113" s="184"/>
      <c r="K113" s="184"/>
      <c r="L113" s="184"/>
      <c r="M113" s="185"/>
      <c r="N113" s="185"/>
      <c r="O113" s="186"/>
      <c r="P113" s="187"/>
      <c r="Q113" s="187"/>
      <c r="R113" s="188"/>
      <c r="S113" s="188"/>
      <c r="T113" s="185"/>
      <c r="U113" s="185"/>
      <c r="V113" s="189"/>
      <c r="W113" s="190"/>
      <c r="X113" s="191"/>
      <c r="Y113" s="186"/>
      <c r="Z113" s="192"/>
      <c r="AA113" s="97"/>
      <c r="AB113" s="193"/>
    </row>
    <row r="114" spans="1:28">
      <c r="A114" s="116"/>
      <c r="B114" s="116"/>
      <c r="C114" s="116"/>
      <c r="D114" s="3"/>
      <c r="E114" s="184"/>
      <c r="F114" s="184"/>
      <c r="G114" s="184"/>
      <c r="H114" s="184"/>
      <c r="I114" s="184"/>
      <c r="J114" s="184"/>
      <c r="K114" s="184"/>
      <c r="L114" s="184"/>
      <c r="M114" s="185"/>
      <c r="N114" s="185"/>
      <c r="O114" s="186"/>
      <c r="P114" s="187"/>
      <c r="Q114" s="187"/>
      <c r="R114" s="188"/>
      <c r="S114" s="188"/>
      <c r="T114" s="185"/>
      <c r="U114" s="185"/>
      <c r="V114" s="189"/>
      <c r="W114" s="190"/>
      <c r="X114" s="191"/>
      <c r="Y114" s="186"/>
      <c r="Z114" s="192"/>
      <c r="AA114" s="97"/>
      <c r="AB114" s="193"/>
    </row>
    <row r="115" spans="1:28">
      <c r="A115" s="169"/>
      <c r="B115" s="169"/>
      <c r="C115" s="169"/>
      <c r="D115" s="170"/>
      <c r="E115" s="171"/>
      <c r="F115" s="171"/>
      <c r="G115" s="171"/>
      <c r="H115" s="171"/>
      <c r="I115" s="171"/>
      <c r="J115" s="171"/>
      <c r="K115" s="171"/>
      <c r="L115" s="171"/>
      <c r="M115" s="172"/>
      <c r="N115" s="172"/>
      <c r="O115" s="173"/>
      <c r="P115" s="174"/>
      <c r="Q115" s="174"/>
      <c r="R115" s="175"/>
      <c r="S115" s="175"/>
      <c r="T115" s="172"/>
      <c r="U115" s="172"/>
      <c r="V115" s="176"/>
      <c r="W115" s="177"/>
      <c r="X115" s="178"/>
      <c r="Y115" s="173"/>
      <c r="Z115" s="179"/>
      <c r="AA115" s="180"/>
      <c r="AB115" s="181"/>
    </row>
  </sheetData>
  <sheetProtection formatCells="0" formatColumns="0" formatRows="0" insertColumns="0" insertRows="0" insertHyperlinks="0" deleteColumns="0" deleteRows="0" sort="0" autoFilter="0" pivotTables="0"/>
  <dataConsolidate/>
  <mergeCells count="28">
    <mergeCell ref="AC3:AF3"/>
    <mergeCell ref="AC1:CA1"/>
    <mergeCell ref="AG3:AJ3"/>
    <mergeCell ref="AK3:AN3"/>
    <mergeCell ref="AO3:AR3"/>
    <mergeCell ref="A3:A4"/>
    <mergeCell ref="B3:B4"/>
    <mergeCell ref="C3:C4"/>
    <mergeCell ref="D3:D4"/>
    <mergeCell ref="E3:K4"/>
    <mergeCell ref="D2:F2"/>
    <mergeCell ref="L3:L4"/>
    <mergeCell ref="M3:M4"/>
    <mergeCell ref="N3:N4"/>
    <mergeCell ref="Z3:Z4"/>
    <mergeCell ref="O3:O4"/>
    <mergeCell ref="P3:P4"/>
    <mergeCell ref="Q3:Q4"/>
    <mergeCell ref="R3:R4"/>
    <mergeCell ref="S3:S4"/>
    <mergeCell ref="Y3:Y4"/>
    <mergeCell ref="AB3:AB4"/>
    <mergeCell ref="T3:T4"/>
    <mergeCell ref="U3:U4"/>
    <mergeCell ref="V3:V4"/>
    <mergeCell ref="W3:W4"/>
    <mergeCell ref="X3:X4"/>
    <mergeCell ref="AA3:AA4"/>
  </mergeCells>
  <phoneticPr fontId="8" type="noConversion"/>
  <conditionalFormatting sqref="D5:AB41">
    <cfRule type="expression" dxfId="1" priority="2">
      <formula>($B5="G")</formula>
    </cfRule>
    <cfRule type="expression" dxfId="0" priority="1">
      <formula>($AB5=1)</formula>
    </cfRule>
  </conditionalFormatting>
  <hyperlinks>
    <hyperlink ref="AC1:CA1" r:id="rId1" display="http://xlworks.net/" xr:uid="{304CF193-74A6-4F11-94CE-E87655BAA5E7}"/>
  </hyperlinks>
  <pageMargins left="0.19685039370078741" right="0.23622047244094491" top="0.43307086614173229" bottom="0.23622047244094491" header="0.23622047244094491" footer="0.19685039370078741"/>
  <pageSetup paperSize="9" scale="30" fitToHeight="0" orientation="landscape" r:id="rId2"/>
  <headerFooter alignWithMargins="0">
    <oddFooter>&amp;L&amp;"-,보통"&amp;9XLGantt ©http://xlworks.net&amp;C&amp;"-,보통"&amp;9&amp;P/&amp;N</oddFooter>
  </headerFooter>
  <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2"/>
  <dimension ref="A1:W30"/>
  <sheetViews>
    <sheetView showGridLines="0" zoomScaleNormal="100" workbookViewId="0">
      <pane ySplit="1" topLeftCell="A2" activePane="bottomLeft" state="frozenSplit"/>
      <selection activeCell="E5" sqref="E5"/>
      <selection pane="bottomLeft" activeCell="C27" sqref="C27"/>
    </sheetView>
  </sheetViews>
  <sheetFormatPr defaultColWidth="10" defaultRowHeight="15"/>
  <cols>
    <col min="1" max="1" width="35.375" style="73" customWidth="1"/>
    <col min="2" max="2" width="13.25" style="71" customWidth="1"/>
    <col min="3" max="3" width="9.875" style="75" customWidth="1"/>
    <col min="4" max="4" width="31.375" style="75" customWidth="1"/>
    <col min="5" max="6" width="14.125" style="75" customWidth="1"/>
    <col min="7" max="7" width="28.375" style="75" customWidth="1"/>
    <col min="8" max="9" width="10" style="75"/>
    <col min="10" max="10" width="8.875" style="75" bestFit="1" customWidth="1"/>
    <col min="11" max="19" width="10" style="75"/>
    <col min="20" max="22" width="10" style="75" customWidth="1"/>
    <col min="23" max="23" width="10" style="75" hidden="1" customWidth="1"/>
    <col min="24" max="16384" width="10" style="75"/>
  </cols>
  <sheetData>
    <row r="1" spans="1:17" s="20" customFormat="1" ht="36.950000000000003" customHeight="1">
      <c r="A1" s="17" t="s">
        <v>1110</v>
      </c>
      <c r="B1" s="18"/>
      <c r="C1" s="18"/>
      <c r="D1" s="18"/>
      <c r="E1" s="18"/>
      <c r="F1" s="18"/>
      <c r="G1" s="18"/>
      <c r="H1" s="18"/>
      <c r="I1" s="18"/>
      <c r="J1" s="18"/>
      <c r="K1" s="18"/>
      <c r="L1" s="246"/>
      <c r="M1" s="247"/>
      <c r="N1" s="247"/>
      <c r="O1" s="19"/>
      <c r="P1" s="19"/>
      <c r="Q1" s="19"/>
    </row>
    <row r="2" spans="1:17" s="23" customFormat="1" ht="12.75">
      <c r="A2" s="21" t="s">
        <v>1095</v>
      </c>
      <c r="B2" s="22"/>
    </row>
    <row r="3" spans="1:17" s="23" customFormat="1" ht="12.75">
      <c r="A3" s="21" t="s">
        <v>1096</v>
      </c>
      <c r="B3" s="22"/>
    </row>
    <row r="4" spans="1:17" s="23" customFormat="1" ht="12.75">
      <c r="A4" s="248"/>
      <c r="B4" s="248"/>
      <c r="C4" s="24"/>
      <c r="D4" s="25"/>
      <c r="E4" s="25"/>
      <c r="F4" s="25"/>
    </row>
    <row r="5" spans="1:17" s="31" customFormat="1" ht="12.75">
      <c r="A5" s="26"/>
      <c r="B5" s="27"/>
      <c r="C5" s="28"/>
      <c r="D5" s="29"/>
      <c r="E5" s="30"/>
      <c r="F5" s="30"/>
      <c r="G5" s="30"/>
    </row>
    <row r="6" spans="1:17" s="31" customFormat="1" ht="12.75">
      <c r="A6" s="32" t="s">
        <v>1097</v>
      </c>
      <c r="B6" s="33">
        <v>471</v>
      </c>
      <c r="C6" s="31" t="s">
        <v>1</v>
      </c>
      <c r="D6" s="245" t="s">
        <v>1098</v>
      </c>
      <c r="E6" s="245"/>
      <c r="F6" s="245"/>
      <c r="G6" s="245"/>
    </row>
    <row r="7" spans="1:17" s="31" customFormat="1" ht="12.75">
      <c r="A7" s="34"/>
      <c r="B7" s="35"/>
      <c r="C7" s="36"/>
      <c r="D7" s="37"/>
      <c r="E7" s="37"/>
      <c r="F7" s="37"/>
      <c r="G7" s="37"/>
    </row>
    <row r="8" spans="1:17" s="31" customFormat="1" ht="12.75" customHeight="1">
      <c r="A8" s="38"/>
      <c r="B8" s="39"/>
      <c r="D8" s="40"/>
      <c r="E8" s="40"/>
      <c r="F8" s="40"/>
      <c r="G8" s="40"/>
      <c r="J8" s="41"/>
    </row>
    <row r="9" spans="1:17" s="31" customFormat="1" ht="12.75">
      <c r="A9" s="32" t="s">
        <v>1099</v>
      </c>
      <c r="B9" s="33">
        <v>392</v>
      </c>
      <c r="C9" s="31" t="s">
        <v>1</v>
      </c>
      <c r="D9" s="244" t="s">
        <v>1100</v>
      </c>
      <c r="E9" s="244"/>
      <c r="F9" s="244"/>
      <c r="G9" s="244"/>
    </row>
    <row r="10" spans="1:17" s="31" customFormat="1" ht="12.75">
      <c r="A10" s="42"/>
      <c r="B10" s="35"/>
      <c r="C10" s="36"/>
      <c r="D10" s="43"/>
      <c r="E10" s="43"/>
      <c r="F10" s="43"/>
      <c r="G10" s="43"/>
    </row>
    <row r="11" spans="1:17" s="31" customFormat="1" ht="13.5" customHeight="1">
      <c r="A11" s="44"/>
      <c r="B11" s="39"/>
      <c r="D11" s="40"/>
      <c r="E11" s="40"/>
      <c r="F11" s="40"/>
      <c r="G11" s="40"/>
    </row>
    <row r="12" spans="1:17" s="31" customFormat="1" ht="12.75" customHeight="1">
      <c r="A12" s="45" t="s">
        <v>1094</v>
      </c>
      <c r="B12" s="33">
        <v>420.9</v>
      </c>
      <c r="C12" s="31" t="s">
        <v>1</v>
      </c>
      <c r="D12" s="244" t="s">
        <v>1165</v>
      </c>
      <c r="E12" s="244"/>
      <c r="F12" s="244"/>
      <c r="G12" s="244"/>
    </row>
    <row r="13" spans="1:17" s="48" customFormat="1" ht="12.75">
      <c r="A13" s="46"/>
      <c r="B13" s="35"/>
      <c r="C13" s="47"/>
      <c r="D13" s="43"/>
      <c r="E13" s="43"/>
      <c r="F13" s="43"/>
      <c r="G13" s="43"/>
      <c r="K13" s="49"/>
    </row>
    <row r="14" spans="1:17" s="48" customFormat="1" ht="14.25" customHeight="1">
      <c r="A14" s="44"/>
      <c r="B14" s="50"/>
      <c r="C14" s="51"/>
      <c r="D14" s="40"/>
      <c r="E14" s="40"/>
      <c r="F14" s="40"/>
      <c r="G14" s="40"/>
    </row>
    <row r="15" spans="1:17" s="31" customFormat="1" ht="12.75" customHeight="1">
      <c r="A15" s="45" t="s">
        <v>1094</v>
      </c>
      <c r="B15" s="33"/>
      <c r="C15" s="31" t="s">
        <v>1</v>
      </c>
      <c r="D15" s="244" t="s">
        <v>1101</v>
      </c>
      <c r="E15" s="244"/>
      <c r="F15" s="244"/>
      <c r="G15" s="244"/>
    </row>
    <row r="16" spans="1:17" s="31" customFormat="1" ht="12.75">
      <c r="A16" s="46"/>
      <c r="B16" s="52"/>
      <c r="C16" s="53"/>
      <c r="D16" s="43"/>
      <c r="E16" s="43"/>
      <c r="F16" s="43"/>
      <c r="G16" s="43"/>
    </row>
    <row r="17" spans="1:7" s="48" customFormat="1" ht="12.75" customHeight="1">
      <c r="A17" s="54"/>
      <c r="B17" s="50"/>
      <c r="C17" s="51"/>
      <c r="D17" s="40"/>
      <c r="E17" s="40"/>
      <c r="F17" s="40"/>
      <c r="G17" s="40"/>
    </row>
    <row r="18" spans="1:7" s="31" customFormat="1" ht="12.75">
      <c r="A18" s="32" t="s">
        <v>1102</v>
      </c>
      <c r="B18" s="55">
        <v>0.83227176220806798</v>
      </c>
      <c r="D18" s="244" t="s">
        <v>1103</v>
      </c>
      <c r="E18" s="244"/>
      <c r="F18" s="244"/>
      <c r="G18" s="244"/>
    </row>
    <row r="19" spans="1:7" s="31" customFormat="1" ht="12.75">
      <c r="A19" s="56"/>
      <c r="B19" s="52"/>
      <c r="C19" s="53"/>
      <c r="D19" s="43"/>
      <c r="E19" s="43"/>
      <c r="F19" s="43"/>
      <c r="G19" s="43"/>
    </row>
    <row r="20" spans="1:7" s="31" customFormat="1" ht="12.75" customHeight="1">
      <c r="A20" s="57"/>
      <c r="B20" s="27"/>
      <c r="C20" s="28"/>
      <c r="D20" s="40"/>
      <c r="E20" s="40"/>
      <c r="F20" s="40"/>
      <c r="G20" s="40"/>
    </row>
    <row r="21" spans="1:7" s="31" customFormat="1" ht="12.75">
      <c r="A21" s="32" t="s">
        <v>1104</v>
      </c>
      <c r="B21" s="55">
        <v>0.89363057324840756</v>
      </c>
      <c r="D21" s="244" t="s">
        <v>1105</v>
      </c>
      <c r="E21" s="244"/>
      <c r="F21" s="244"/>
      <c r="G21" s="244"/>
    </row>
    <row r="22" spans="1:7" s="31" customFormat="1" ht="12.75">
      <c r="A22" s="58"/>
      <c r="B22" s="59"/>
      <c r="C22" s="60"/>
      <c r="D22" s="43"/>
      <c r="E22" s="43"/>
      <c r="F22" s="43"/>
      <c r="G22" s="43"/>
    </row>
    <row r="23" spans="1:7" s="31" customFormat="1" ht="13.5" customHeight="1">
      <c r="A23" s="61"/>
      <c r="B23" s="62"/>
      <c r="C23" s="63"/>
      <c r="D23" s="64"/>
      <c r="E23" s="64"/>
      <c r="F23" s="64"/>
      <c r="G23" s="64"/>
    </row>
    <row r="24" spans="1:7" s="31" customFormat="1" ht="12.75">
      <c r="A24" s="32" t="s">
        <v>1106</v>
      </c>
      <c r="B24" s="65">
        <f>ACTUAL_RATE-PLANNED_RATE</f>
        <v>6.1358811040339578E-2</v>
      </c>
      <c r="D24" s="245" t="s">
        <v>1107</v>
      </c>
      <c r="E24" s="245"/>
      <c r="F24" s="245"/>
      <c r="G24" s="245"/>
    </row>
    <row r="25" spans="1:7" s="31" customFormat="1" ht="12.75">
      <c r="A25" s="66"/>
      <c r="B25" s="67"/>
      <c r="C25" s="68"/>
      <c r="D25" s="69"/>
      <c r="E25" s="69"/>
      <c r="F25" s="69"/>
      <c r="G25" s="69"/>
    </row>
    <row r="26" spans="1:7" s="72" customFormat="1">
      <c r="A26" s="70"/>
      <c r="B26" s="71"/>
    </row>
    <row r="27" spans="1:7">
      <c r="B27" s="74"/>
      <c r="G27" s="73"/>
    </row>
    <row r="28" spans="1:7">
      <c r="B28" s="76"/>
    </row>
    <row r="29" spans="1:7">
      <c r="B29" s="76"/>
    </row>
    <row r="30" spans="1:7">
      <c r="B30" s="77"/>
    </row>
  </sheetData>
  <mergeCells count="9">
    <mergeCell ref="D18:G18"/>
    <mergeCell ref="D21:G21"/>
    <mergeCell ref="D24:G24"/>
    <mergeCell ref="L1:N1"/>
    <mergeCell ref="A4:B4"/>
    <mergeCell ref="D6:G6"/>
    <mergeCell ref="D9:G9"/>
    <mergeCell ref="D12:G12"/>
    <mergeCell ref="D15:G15"/>
  </mergeCells>
  <phoneticPr fontId="2" type="noConversion"/>
  <conditionalFormatting sqref="J1">
    <cfRule type="expression" dxfId="2" priority="1">
      <formula>$J1="Yes"</formula>
    </cfRule>
  </conditionalFormatting>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dimension ref="B1:F29"/>
  <sheetViews>
    <sheetView showGridLines="0" zoomScale="80" zoomScaleNormal="80" workbookViewId="0">
      <pane ySplit="1" topLeftCell="A2" activePane="bottomLeft" state="frozen"/>
      <selection pane="bottomLeft"/>
    </sheetView>
  </sheetViews>
  <sheetFormatPr defaultColWidth="9.125" defaultRowHeight="15"/>
  <cols>
    <col min="1" max="1" width="1.625" style="213" customWidth="1"/>
    <col min="2" max="3" width="10.625" style="213" bestFit="1" customWidth="1"/>
    <col min="4" max="4" width="9.125" style="213"/>
    <col min="5" max="5" width="10.625" style="213" customWidth="1"/>
    <col min="6" max="16384" width="9.125" style="213"/>
  </cols>
  <sheetData>
    <row r="1" spans="2:6" ht="36.950000000000003" customHeight="1">
      <c r="B1" s="78" t="s">
        <v>1157</v>
      </c>
    </row>
    <row r="2" spans="2:6">
      <c r="B2" s="213" t="s">
        <v>1158</v>
      </c>
    </row>
    <row r="3" spans="2:6">
      <c r="B3" s="213" t="s">
        <v>1159</v>
      </c>
    </row>
    <row r="6" spans="2:6" ht="30">
      <c r="B6" s="79" t="s">
        <v>1111</v>
      </c>
      <c r="C6" s="183" t="s">
        <v>1112</v>
      </c>
      <c r="D6" s="183" t="s">
        <v>2</v>
      </c>
      <c r="E6" s="183" t="s">
        <v>1160</v>
      </c>
      <c r="F6" s="212" t="s">
        <v>1161</v>
      </c>
    </row>
    <row r="7" spans="2:6">
      <c r="B7" s="208">
        <v>43375</v>
      </c>
      <c r="C7" s="208">
        <v>43379</v>
      </c>
      <c r="D7" s="209">
        <v>1</v>
      </c>
      <c r="E7" s="209">
        <f>D7</f>
        <v>1</v>
      </c>
      <c r="F7" s="214">
        <f t="shared" ref="F7:F28" si="0">E7/$D$29</f>
        <v>3.8022813688212928E-3</v>
      </c>
    </row>
    <row r="8" spans="2:6">
      <c r="B8" s="210">
        <v>43380</v>
      </c>
      <c r="C8" s="210">
        <v>43386</v>
      </c>
      <c r="D8" s="211">
        <v>10</v>
      </c>
      <c r="E8" s="211">
        <f>E7+D8</f>
        <v>11</v>
      </c>
      <c r="F8" s="215">
        <f t="shared" si="0"/>
        <v>4.1825095057034217E-2</v>
      </c>
    </row>
    <row r="9" spans="2:6">
      <c r="B9" s="210">
        <v>43387</v>
      </c>
      <c r="C9" s="210">
        <v>43393</v>
      </c>
      <c r="D9" s="211">
        <v>15</v>
      </c>
      <c r="E9" s="211">
        <f t="shared" ref="E9:E28" si="1">E8+D9</f>
        <v>26</v>
      </c>
      <c r="F9" s="215">
        <f t="shared" si="0"/>
        <v>9.8859315589353611E-2</v>
      </c>
    </row>
    <row r="10" spans="2:6">
      <c r="B10" s="210">
        <v>43394</v>
      </c>
      <c r="C10" s="210">
        <v>43400</v>
      </c>
      <c r="D10" s="211">
        <v>10</v>
      </c>
      <c r="E10" s="211">
        <f t="shared" si="1"/>
        <v>36</v>
      </c>
      <c r="F10" s="215">
        <f t="shared" si="0"/>
        <v>0.13688212927756654</v>
      </c>
    </row>
    <row r="11" spans="2:6">
      <c r="B11" s="210">
        <v>43401</v>
      </c>
      <c r="C11" s="210">
        <v>43407</v>
      </c>
      <c r="D11" s="211">
        <v>9</v>
      </c>
      <c r="E11" s="211">
        <f t="shared" si="1"/>
        <v>45</v>
      </c>
      <c r="F11" s="215">
        <f t="shared" si="0"/>
        <v>0.17110266159695817</v>
      </c>
    </row>
    <row r="12" spans="2:6">
      <c r="B12" s="210">
        <v>43408</v>
      </c>
      <c r="C12" s="210">
        <v>43414</v>
      </c>
      <c r="D12" s="211">
        <v>12</v>
      </c>
      <c r="E12" s="211">
        <f t="shared" si="1"/>
        <v>57</v>
      </c>
      <c r="F12" s="215">
        <f t="shared" si="0"/>
        <v>0.21673003802281368</v>
      </c>
    </row>
    <row r="13" spans="2:6">
      <c r="B13" s="210">
        <v>43415</v>
      </c>
      <c r="C13" s="210">
        <v>43421</v>
      </c>
      <c r="D13" s="211">
        <v>14</v>
      </c>
      <c r="E13" s="211">
        <f t="shared" si="1"/>
        <v>71</v>
      </c>
      <c r="F13" s="215">
        <f t="shared" si="0"/>
        <v>0.26996197718631176</v>
      </c>
    </row>
    <row r="14" spans="2:6">
      <c r="B14" s="210">
        <v>43422</v>
      </c>
      <c r="C14" s="210">
        <v>43428</v>
      </c>
      <c r="D14" s="211">
        <v>7</v>
      </c>
      <c r="E14" s="211">
        <f t="shared" si="1"/>
        <v>78</v>
      </c>
      <c r="F14" s="215">
        <f t="shared" si="0"/>
        <v>0.29657794676806082</v>
      </c>
    </row>
    <row r="15" spans="2:6">
      <c r="B15" s="210">
        <v>43429</v>
      </c>
      <c r="C15" s="210">
        <v>43435</v>
      </c>
      <c r="D15" s="211">
        <v>8</v>
      </c>
      <c r="E15" s="211">
        <f t="shared" si="1"/>
        <v>86</v>
      </c>
      <c r="F15" s="215">
        <f t="shared" si="0"/>
        <v>0.3269961977186312</v>
      </c>
    </row>
    <row r="16" spans="2:6">
      <c r="B16" s="210">
        <v>43436</v>
      </c>
      <c r="C16" s="210">
        <v>43442</v>
      </c>
      <c r="D16" s="211">
        <v>18</v>
      </c>
      <c r="E16" s="211">
        <f t="shared" si="1"/>
        <v>104</v>
      </c>
      <c r="F16" s="215">
        <f t="shared" si="0"/>
        <v>0.39543726235741444</v>
      </c>
    </row>
    <row r="17" spans="2:6">
      <c r="B17" s="210">
        <v>43443</v>
      </c>
      <c r="C17" s="210">
        <v>43449</v>
      </c>
      <c r="D17" s="211">
        <v>18</v>
      </c>
      <c r="E17" s="211">
        <f t="shared" si="1"/>
        <v>122</v>
      </c>
      <c r="F17" s="215">
        <f t="shared" si="0"/>
        <v>0.46387832699619774</v>
      </c>
    </row>
    <row r="18" spans="2:6">
      <c r="B18" s="210">
        <v>43450</v>
      </c>
      <c r="C18" s="210">
        <v>43456</v>
      </c>
      <c r="D18" s="211">
        <v>17</v>
      </c>
      <c r="E18" s="211">
        <f t="shared" si="1"/>
        <v>139</v>
      </c>
      <c r="F18" s="215">
        <f t="shared" si="0"/>
        <v>0.52851711026615966</v>
      </c>
    </row>
    <row r="19" spans="2:6">
      <c r="B19" s="210">
        <v>43457</v>
      </c>
      <c r="C19" s="210">
        <v>43463</v>
      </c>
      <c r="D19" s="211">
        <v>12</v>
      </c>
      <c r="E19" s="211">
        <f t="shared" si="1"/>
        <v>151</v>
      </c>
      <c r="F19" s="215">
        <f t="shared" si="0"/>
        <v>0.57414448669201523</v>
      </c>
    </row>
    <row r="20" spans="2:6">
      <c r="B20" s="210">
        <v>43464</v>
      </c>
      <c r="C20" s="210">
        <v>43470</v>
      </c>
      <c r="D20" s="211">
        <v>14</v>
      </c>
      <c r="E20" s="211">
        <f t="shared" si="1"/>
        <v>165</v>
      </c>
      <c r="F20" s="215">
        <f t="shared" si="0"/>
        <v>0.62737642585551334</v>
      </c>
    </row>
    <row r="21" spans="2:6">
      <c r="B21" s="210">
        <v>43471</v>
      </c>
      <c r="C21" s="210">
        <v>43477</v>
      </c>
      <c r="D21" s="211">
        <v>21</v>
      </c>
      <c r="E21" s="211">
        <f t="shared" si="1"/>
        <v>186</v>
      </c>
      <c r="F21" s="215">
        <f t="shared" si="0"/>
        <v>0.70722433460076051</v>
      </c>
    </row>
    <row r="22" spans="2:6">
      <c r="B22" s="210">
        <v>43478</v>
      </c>
      <c r="C22" s="210">
        <v>43484</v>
      </c>
      <c r="D22" s="211">
        <v>25</v>
      </c>
      <c r="E22" s="211">
        <f t="shared" si="1"/>
        <v>211</v>
      </c>
      <c r="F22" s="215">
        <f t="shared" si="0"/>
        <v>0.80228136882129275</v>
      </c>
    </row>
    <row r="23" spans="2:6">
      <c r="B23" s="210">
        <v>43485</v>
      </c>
      <c r="C23" s="210">
        <v>43491</v>
      </c>
      <c r="D23" s="211">
        <v>25</v>
      </c>
      <c r="E23" s="211">
        <f t="shared" si="1"/>
        <v>236</v>
      </c>
      <c r="F23" s="215">
        <f t="shared" si="0"/>
        <v>0.89733840304182511</v>
      </c>
    </row>
    <row r="24" spans="2:6">
      <c r="B24" s="210">
        <v>43492</v>
      </c>
      <c r="C24" s="210">
        <v>43498</v>
      </c>
      <c r="D24" s="211">
        <v>8</v>
      </c>
      <c r="E24" s="211">
        <f t="shared" si="1"/>
        <v>244</v>
      </c>
      <c r="F24" s="215">
        <f t="shared" si="0"/>
        <v>0.92775665399239549</v>
      </c>
    </row>
    <row r="25" spans="2:6">
      <c r="B25" s="210">
        <v>43499</v>
      </c>
      <c r="C25" s="210">
        <v>43505</v>
      </c>
      <c r="D25" s="211">
        <v>6</v>
      </c>
      <c r="E25" s="211">
        <f t="shared" si="1"/>
        <v>250</v>
      </c>
      <c r="F25" s="215">
        <f t="shared" si="0"/>
        <v>0.95057034220532322</v>
      </c>
    </row>
    <row r="26" spans="2:6">
      <c r="B26" s="210">
        <v>43506</v>
      </c>
      <c r="C26" s="210">
        <v>43512</v>
      </c>
      <c r="D26" s="211">
        <v>4</v>
      </c>
      <c r="E26" s="211">
        <f t="shared" si="1"/>
        <v>254</v>
      </c>
      <c r="F26" s="215">
        <f t="shared" si="0"/>
        <v>0.96577946768060841</v>
      </c>
    </row>
    <row r="27" spans="2:6">
      <c r="B27" s="210">
        <v>43513</v>
      </c>
      <c r="C27" s="210">
        <v>43519</v>
      </c>
      <c r="D27" s="211">
        <v>5</v>
      </c>
      <c r="E27" s="211">
        <f t="shared" si="1"/>
        <v>259</v>
      </c>
      <c r="F27" s="215">
        <f t="shared" si="0"/>
        <v>0.98479087452471481</v>
      </c>
    </row>
    <row r="28" spans="2:6">
      <c r="B28" s="210">
        <v>43520</v>
      </c>
      <c r="C28" s="210">
        <v>43526</v>
      </c>
      <c r="D28" s="211">
        <v>4</v>
      </c>
      <c r="E28" s="211">
        <f t="shared" si="1"/>
        <v>263</v>
      </c>
      <c r="F28" s="215">
        <f t="shared" si="0"/>
        <v>1</v>
      </c>
    </row>
    <row r="29" spans="2:6">
      <c r="C29" s="213" t="s">
        <v>4</v>
      </c>
      <c r="D29" s="213">
        <f>SUM(D7:D28)</f>
        <v>263</v>
      </c>
    </row>
  </sheetData>
  <sortState xmlns:xlrd2="http://schemas.microsoft.com/office/spreadsheetml/2017/richdata2" ref="A7:M47">
    <sortCondition ref="A7:A49"/>
    <sortCondition ref="B7:B49"/>
  </sortState>
  <dataConsolidate/>
  <phoneticPr fontId="2" type="noConversion"/>
  <pageMargins left="0.7" right="0.7" top="0.75" bottom="0.75" header="0.3" footer="0.3"/>
  <pageSetup paperSize="9" orientation="portrait" verticalDpi="0"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3"/>
  <dimension ref="A1:J305"/>
  <sheetViews>
    <sheetView showGridLines="0" zoomScale="85" zoomScaleNormal="85" workbookViewId="0">
      <pane ySplit="1" topLeftCell="A2" activePane="bottomLeft" state="frozenSplit"/>
      <selection pane="bottomLeft" activeCell="E5" sqref="E5"/>
    </sheetView>
  </sheetViews>
  <sheetFormatPr defaultColWidth="10" defaultRowHeight="15"/>
  <cols>
    <col min="1" max="1" width="31.625" style="86" customWidth="1"/>
    <col min="2" max="2" width="14.5" style="86" customWidth="1"/>
    <col min="3" max="3" width="7.625" style="86" customWidth="1"/>
    <col min="4" max="4" width="21.5" style="86" customWidth="1"/>
    <col min="5" max="5" width="14.125" style="86" customWidth="1"/>
    <col min="6" max="6" width="10" style="86"/>
    <col min="7" max="7" width="24.25" style="86" customWidth="1"/>
    <col min="8" max="8" width="18.375" style="86" bestFit="1" customWidth="1"/>
    <col min="9" max="9" width="11.125" style="86" bestFit="1" customWidth="1"/>
    <col min="10" max="10" width="27.375" style="86" bestFit="1" customWidth="1"/>
    <col min="11" max="19" width="10" style="86"/>
    <col min="20" max="23" width="10" style="86" customWidth="1"/>
    <col min="24" max="16384" width="10" style="86"/>
  </cols>
  <sheetData>
    <row r="1" spans="1:9" s="80" customFormat="1" ht="36.950000000000003" customHeight="1">
      <c r="A1" s="17" t="s">
        <v>1114</v>
      </c>
      <c r="B1" s="17"/>
      <c r="C1" s="17"/>
      <c r="D1" s="17"/>
      <c r="E1" s="17"/>
      <c r="F1" s="17"/>
      <c r="G1" s="17"/>
      <c r="H1" s="17"/>
    </row>
    <row r="2" spans="1:9" s="81" customFormat="1" ht="78.75" customHeight="1">
      <c r="A2" s="249" t="s">
        <v>1115</v>
      </c>
      <c r="B2" s="249"/>
      <c r="C2" s="249"/>
      <c r="D2" s="249"/>
      <c r="E2" s="249"/>
      <c r="F2" s="249"/>
      <c r="G2" s="249"/>
      <c r="H2" s="249"/>
    </row>
    <row r="3" spans="1:9" s="81" customFormat="1" ht="24.75" customHeight="1">
      <c r="A3" s="250" t="s">
        <v>1116</v>
      </c>
      <c r="B3" s="250"/>
      <c r="D3" s="250" t="s">
        <v>1117</v>
      </c>
      <c r="E3" s="250"/>
      <c r="G3" s="250" t="s">
        <v>1118</v>
      </c>
      <c r="H3" s="250"/>
    </row>
    <row r="4" spans="1:9" s="83" customFormat="1" ht="19.5" customHeight="1">
      <c r="A4" s="82" t="s">
        <v>1119</v>
      </c>
      <c r="B4" s="82" t="s">
        <v>1121</v>
      </c>
      <c r="D4" s="82" t="s">
        <v>1120</v>
      </c>
      <c r="E4" s="82" t="s">
        <v>1122</v>
      </c>
      <c r="G4" s="82" t="s">
        <v>1120</v>
      </c>
      <c r="H4" s="82" t="s">
        <v>1121</v>
      </c>
    </row>
    <row r="5" spans="1:9" ht="16.5">
      <c r="A5" s="118" t="s">
        <v>1055</v>
      </c>
      <c r="B5" s="119">
        <v>43101</v>
      </c>
      <c r="C5" s="86" t="str">
        <f t="shared" ref="C5:C68" si="0">IF(B5&gt;0,TEXT(B5,"(aaa)"),"")</f>
        <v>(월)</v>
      </c>
      <c r="D5" s="84"/>
      <c r="E5" s="85"/>
      <c r="F5" s="86" t="str">
        <f t="shared" ref="F5:F68" si="1">IF(E5&gt;0,TEXT(E5,"(aaa)"),"")</f>
        <v/>
      </c>
      <c r="G5" s="84"/>
      <c r="H5" s="85"/>
      <c r="I5" s="86" t="str">
        <f t="shared" ref="I5:I68" si="2">IF(H5&gt;0,TEXT(H5,"(aaa)"),"")</f>
        <v/>
      </c>
    </row>
    <row r="6" spans="1:9" ht="16.5">
      <c r="A6" s="118" t="s">
        <v>1056</v>
      </c>
      <c r="B6" s="119">
        <v>43146</v>
      </c>
      <c r="C6" s="86" t="str">
        <f t="shared" si="0"/>
        <v>(목)</v>
      </c>
      <c r="D6" s="84"/>
      <c r="E6" s="85"/>
      <c r="F6" s="86" t="str">
        <f t="shared" si="1"/>
        <v/>
      </c>
      <c r="G6" s="84"/>
      <c r="H6" s="85"/>
      <c r="I6" s="86" t="str">
        <f t="shared" si="2"/>
        <v/>
      </c>
    </row>
    <row r="7" spans="1:9" ht="16.5">
      <c r="A7" s="118" t="s">
        <v>1057</v>
      </c>
      <c r="B7" s="119">
        <v>43147</v>
      </c>
      <c r="C7" s="86" t="str">
        <f t="shared" si="0"/>
        <v>(금)</v>
      </c>
      <c r="D7" s="84"/>
      <c r="E7" s="85"/>
      <c r="F7" s="86" t="str">
        <f t="shared" si="1"/>
        <v/>
      </c>
      <c r="G7" s="84"/>
      <c r="H7" s="85"/>
      <c r="I7" s="86" t="str">
        <f t="shared" si="2"/>
        <v/>
      </c>
    </row>
    <row r="8" spans="1:9" ht="16.5">
      <c r="A8" s="118" t="s">
        <v>1058</v>
      </c>
      <c r="B8" s="119">
        <v>43160</v>
      </c>
      <c r="C8" s="86" t="str">
        <f t="shared" si="0"/>
        <v>(목)</v>
      </c>
      <c r="D8" s="84"/>
      <c r="E8" s="85"/>
      <c r="F8" s="86" t="str">
        <f t="shared" si="1"/>
        <v/>
      </c>
      <c r="G8" s="84"/>
      <c r="H8" s="85"/>
      <c r="I8" s="86" t="str">
        <f t="shared" si="2"/>
        <v/>
      </c>
    </row>
    <row r="9" spans="1:9" ht="16.5">
      <c r="A9" s="118" t="s">
        <v>915</v>
      </c>
      <c r="B9" s="119">
        <v>43227</v>
      </c>
      <c r="C9" s="86" t="str">
        <f t="shared" si="0"/>
        <v>(월)</v>
      </c>
      <c r="D9" s="84"/>
      <c r="E9" s="85"/>
      <c r="F9" s="86" t="str">
        <f t="shared" si="1"/>
        <v/>
      </c>
      <c r="G9" s="84"/>
      <c r="H9" s="85"/>
      <c r="I9" s="86" t="str">
        <f t="shared" si="2"/>
        <v/>
      </c>
    </row>
    <row r="10" spans="1:9" ht="16.5">
      <c r="A10" s="118" t="s">
        <v>916</v>
      </c>
      <c r="B10" s="119">
        <v>43242</v>
      </c>
      <c r="C10" s="86" t="str">
        <f t="shared" si="0"/>
        <v>(화)</v>
      </c>
      <c r="D10" s="84"/>
      <c r="E10" s="85"/>
      <c r="F10" s="86" t="str">
        <f t="shared" si="1"/>
        <v/>
      </c>
      <c r="G10" s="84"/>
      <c r="H10" s="85"/>
      <c r="I10" s="86" t="str">
        <f t="shared" si="2"/>
        <v/>
      </c>
    </row>
    <row r="11" spans="1:9" ht="16.5">
      <c r="A11" s="118" t="s">
        <v>917</v>
      </c>
      <c r="B11" s="119">
        <v>43257</v>
      </c>
      <c r="C11" s="86" t="str">
        <f t="shared" si="0"/>
        <v>(수)</v>
      </c>
      <c r="D11" s="84"/>
      <c r="E11" s="85"/>
      <c r="F11" s="86" t="str">
        <f t="shared" si="1"/>
        <v/>
      </c>
      <c r="G11" s="84"/>
      <c r="H11" s="85"/>
      <c r="I11" s="86" t="str">
        <f t="shared" si="2"/>
        <v/>
      </c>
    </row>
    <row r="12" spans="1:9" ht="16.5">
      <c r="A12" s="118" t="s">
        <v>918</v>
      </c>
      <c r="B12" s="119">
        <v>43327</v>
      </c>
      <c r="C12" s="86" t="str">
        <f t="shared" si="0"/>
        <v>(수)</v>
      </c>
      <c r="D12" s="84"/>
      <c r="E12" s="85"/>
      <c r="F12" s="86" t="str">
        <f t="shared" si="1"/>
        <v/>
      </c>
      <c r="G12" s="84"/>
      <c r="H12" s="85"/>
      <c r="I12" s="86" t="str">
        <f t="shared" si="2"/>
        <v/>
      </c>
    </row>
    <row r="13" spans="1:9" ht="16.5">
      <c r="A13" s="118" t="s">
        <v>919</v>
      </c>
      <c r="B13" s="119">
        <v>43367</v>
      </c>
      <c r="C13" s="86" t="str">
        <f t="shared" si="0"/>
        <v>(월)</v>
      </c>
      <c r="D13" s="84"/>
      <c r="E13" s="85"/>
      <c r="F13" s="86" t="str">
        <f t="shared" si="1"/>
        <v/>
      </c>
      <c r="G13" s="84"/>
      <c r="H13" s="85"/>
      <c r="I13" s="86" t="str">
        <f t="shared" si="2"/>
        <v/>
      </c>
    </row>
    <row r="14" spans="1:9" ht="16.5">
      <c r="A14" s="118" t="s">
        <v>920</v>
      </c>
      <c r="B14" s="119">
        <v>43368</v>
      </c>
      <c r="C14" s="86" t="str">
        <f t="shared" si="0"/>
        <v>(화)</v>
      </c>
      <c r="D14" s="84"/>
      <c r="E14" s="85"/>
      <c r="F14" s="86" t="str">
        <f t="shared" si="1"/>
        <v/>
      </c>
      <c r="G14" s="84"/>
      <c r="H14" s="85"/>
      <c r="I14" s="86" t="str">
        <f t="shared" si="2"/>
        <v/>
      </c>
    </row>
    <row r="15" spans="1:9" ht="16.5">
      <c r="A15" s="118" t="s">
        <v>921</v>
      </c>
      <c r="B15" s="119">
        <v>43369</v>
      </c>
      <c r="C15" s="86" t="str">
        <f t="shared" si="0"/>
        <v>(수)</v>
      </c>
      <c r="D15" s="84"/>
      <c r="E15" s="85"/>
      <c r="F15" s="86" t="str">
        <f t="shared" si="1"/>
        <v/>
      </c>
      <c r="G15" s="84"/>
      <c r="H15" s="85"/>
      <c r="I15" s="86" t="str">
        <f t="shared" si="2"/>
        <v/>
      </c>
    </row>
    <row r="16" spans="1:9" ht="16.5">
      <c r="A16" s="118" t="s">
        <v>922</v>
      </c>
      <c r="B16" s="119">
        <v>43376</v>
      </c>
      <c r="C16" s="86" t="str">
        <f t="shared" si="0"/>
        <v>(수)</v>
      </c>
      <c r="D16" s="84"/>
      <c r="E16" s="85"/>
      <c r="F16" s="86" t="str">
        <f t="shared" si="1"/>
        <v/>
      </c>
      <c r="G16" s="84"/>
      <c r="H16" s="85"/>
      <c r="I16" s="86" t="str">
        <f t="shared" si="2"/>
        <v/>
      </c>
    </row>
    <row r="17" spans="1:10" ht="16.5">
      <c r="A17" s="118" t="s">
        <v>923</v>
      </c>
      <c r="B17" s="119">
        <v>43382</v>
      </c>
      <c r="C17" s="86" t="str">
        <f t="shared" si="0"/>
        <v>(화)</v>
      </c>
      <c r="D17" s="84"/>
      <c r="E17" s="85"/>
      <c r="F17" s="86" t="str">
        <f t="shared" si="1"/>
        <v/>
      </c>
      <c r="G17" s="84"/>
      <c r="H17" s="85"/>
      <c r="I17" s="86" t="str">
        <f t="shared" si="2"/>
        <v/>
      </c>
    </row>
    <row r="18" spans="1:10" ht="16.5">
      <c r="A18" s="118" t="s">
        <v>924</v>
      </c>
      <c r="B18" s="119">
        <v>43459</v>
      </c>
      <c r="C18" s="86" t="str">
        <f t="shared" si="0"/>
        <v>(화)</v>
      </c>
      <c r="D18" s="84"/>
      <c r="E18" s="85"/>
      <c r="F18" s="86" t="str">
        <f t="shared" si="1"/>
        <v/>
      </c>
      <c r="G18" s="84"/>
      <c r="H18" s="85"/>
      <c r="I18" s="86" t="str">
        <f t="shared" si="2"/>
        <v/>
      </c>
    </row>
    <row r="19" spans="1:10" ht="16.5">
      <c r="A19" s="118" t="s">
        <v>1059</v>
      </c>
      <c r="B19" s="119">
        <v>43466</v>
      </c>
      <c r="C19" s="86" t="str">
        <f t="shared" si="0"/>
        <v>(화)</v>
      </c>
      <c r="D19" s="84"/>
      <c r="E19" s="85"/>
      <c r="F19" s="86" t="str">
        <f t="shared" si="1"/>
        <v/>
      </c>
      <c r="G19" s="84"/>
      <c r="H19" s="85"/>
      <c r="I19" s="86" t="str">
        <f t="shared" si="2"/>
        <v/>
      </c>
      <c r="J19" s="87"/>
    </row>
    <row r="20" spans="1:10" ht="16.5">
      <c r="A20" s="118" t="s">
        <v>1060</v>
      </c>
      <c r="B20" s="119">
        <v>43500</v>
      </c>
      <c r="C20" s="86" t="str">
        <f t="shared" si="0"/>
        <v>(월)</v>
      </c>
      <c r="D20" s="84"/>
      <c r="E20" s="85"/>
      <c r="F20" s="86" t="str">
        <f t="shared" si="1"/>
        <v/>
      </c>
      <c r="G20" s="84"/>
      <c r="H20" s="85"/>
      <c r="I20" s="86" t="str">
        <f t="shared" si="2"/>
        <v/>
      </c>
      <c r="J20" s="87"/>
    </row>
    <row r="21" spans="1:10" ht="16.5">
      <c r="A21" s="118" t="s">
        <v>1061</v>
      </c>
      <c r="B21" s="119">
        <v>43501</v>
      </c>
      <c r="C21" s="86" t="str">
        <f t="shared" si="0"/>
        <v>(화)</v>
      </c>
      <c r="D21" s="84"/>
      <c r="E21" s="85"/>
      <c r="F21" s="86" t="str">
        <f t="shared" si="1"/>
        <v/>
      </c>
      <c r="G21" s="84"/>
      <c r="H21" s="85"/>
      <c r="I21" s="86" t="str">
        <f t="shared" si="2"/>
        <v/>
      </c>
    </row>
    <row r="22" spans="1:10" ht="16.5">
      <c r="A22" s="118" t="s">
        <v>1060</v>
      </c>
      <c r="B22" s="119">
        <v>43502</v>
      </c>
      <c r="C22" s="86" t="str">
        <f t="shared" si="0"/>
        <v>(수)</v>
      </c>
      <c r="D22" s="84"/>
      <c r="E22" s="85"/>
      <c r="F22" s="86" t="str">
        <f t="shared" si="1"/>
        <v/>
      </c>
      <c r="G22" s="84"/>
      <c r="H22" s="85"/>
      <c r="I22" s="86" t="str">
        <f t="shared" si="2"/>
        <v/>
      </c>
    </row>
    <row r="23" spans="1:10" ht="16.5">
      <c r="A23" s="118" t="s">
        <v>1062</v>
      </c>
      <c r="B23" s="119">
        <v>43525</v>
      </c>
      <c r="C23" s="86" t="str">
        <f t="shared" si="0"/>
        <v>(금)</v>
      </c>
      <c r="D23" s="84"/>
      <c r="E23" s="85"/>
      <c r="F23" s="86" t="str">
        <f t="shared" si="1"/>
        <v/>
      </c>
      <c r="G23" s="84"/>
      <c r="H23" s="85"/>
      <c r="I23" s="86" t="str">
        <f t="shared" si="2"/>
        <v/>
      </c>
    </row>
    <row r="24" spans="1:10" ht="16.5">
      <c r="A24" s="118" t="s">
        <v>1063</v>
      </c>
      <c r="B24" s="119">
        <v>43591</v>
      </c>
      <c r="C24" s="86" t="str">
        <f t="shared" si="0"/>
        <v>(월)</v>
      </c>
      <c r="D24" s="84"/>
      <c r="E24" s="85"/>
      <c r="F24" s="86" t="str">
        <f t="shared" si="1"/>
        <v/>
      </c>
      <c r="G24" s="84"/>
      <c r="H24" s="85"/>
      <c r="I24" s="86" t="str">
        <f t="shared" si="2"/>
        <v/>
      </c>
    </row>
    <row r="25" spans="1:10" ht="16.5">
      <c r="A25" s="118" t="s">
        <v>1064</v>
      </c>
      <c r="B25" s="119">
        <v>43622</v>
      </c>
      <c r="C25" s="86" t="str">
        <f t="shared" si="0"/>
        <v>(목)</v>
      </c>
      <c r="D25" s="84"/>
      <c r="E25" s="85"/>
      <c r="F25" s="86" t="str">
        <f t="shared" si="1"/>
        <v/>
      </c>
      <c r="G25" s="84"/>
      <c r="H25" s="85"/>
      <c r="I25" s="86" t="str">
        <f t="shared" si="2"/>
        <v/>
      </c>
    </row>
    <row r="26" spans="1:10" ht="16.5">
      <c r="A26" s="118" t="s">
        <v>1065</v>
      </c>
      <c r="B26" s="119">
        <v>43692</v>
      </c>
      <c r="C26" s="86" t="str">
        <f t="shared" si="0"/>
        <v>(목)</v>
      </c>
      <c r="D26" s="84"/>
      <c r="E26" s="85"/>
      <c r="F26" s="86" t="str">
        <f t="shared" si="1"/>
        <v/>
      </c>
      <c r="G26" s="84"/>
      <c r="H26" s="85"/>
      <c r="I26" s="86" t="str">
        <f t="shared" si="2"/>
        <v/>
      </c>
    </row>
    <row r="27" spans="1:10" ht="16.5">
      <c r="A27" s="118" t="s">
        <v>1066</v>
      </c>
      <c r="B27" s="119">
        <v>43720</v>
      </c>
      <c r="C27" s="86" t="str">
        <f t="shared" si="0"/>
        <v>(목)</v>
      </c>
      <c r="D27" s="84"/>
      <c r="E27" s="85"/>
      <c r="F27" s="86" t="str">
        <f t="shared" si="1"/>
        <v/>
      </c>
      <c r="G27" s="84"/>
      <c r="H27" s="85"/>
      <c r="I27" s="86" t="str">
        <f t="shared" si="2"/>
        <v/>
      </c>
    </row>
    <row r="28" spans="1:10" ht="16.5">
      <c r="A28" s="118" t="s">
        <v>1067</v>
      </c>
      <c r="B28" s="119">
        <v>43721</v>
      </c>
      <c r="C28" s="86" t="str">
        <f t="shared" si="0"/>
        <v>(금)</v>
      </c>
      <c r="D28" s="84"/>
      <c r="E28" s="85"/>
      <c r="F28" s="86" t="str">
        <f t="shared" si="1"/>
        <v/>
      </c>
      <c r="G28" s="84"/>
      <c r="H28" s="85"/>
      <c r="I28" s="86" t="str">
        <f t="shared" si="2"/>
        <v/>
      </c>
    </row>
    <row r="29" spans="1:10" ht="16.5">
      <c r="A29" s="118" t="s">
        <v>1068</v>
      </c>
      <c r="B29" s="119">
        <v>43741</v>
      </c>
      <c r="C29" s="86" t="str">
        <f t="shared" si="0"/>
        <v>(목)</v>
      </c>
      <c r="D29" s="84"/>
      <c r="E29" s="85"/>
      <c r="F29" s="86" t="str">
        <f t="shared" si="1"/>
        <v/>
      </c>
      <c r="G29" s="84"/>
      <c r="H29" s="85"/>
      <c r="I29" s="86" t="str">
        <f t="shared" si="2"/>
        <v/>
      </c>
    </row>
    <row r="30" spans="1:10" ht="16.5">
      <c r="A30" s="118" t="s">
        <v>1069</v>
      </c>
      <c r="B30" s="119">
        <v>43747</v>
      </c>
      <c r="C30" s="86" t="str">
        <f t="shared" si="0"/>
        <v>(수)</v>
      </c>
      <c r="D30" s="84"/>
      <c r="E30" s="85"/>
      <c r="F30" s="86" t="str">
        <f t="shared" si="1"/>
        <v/>
      </c>
      <c r="G30" s="84"/>
      <c r="H30" s="85"/>
      <c r="I30" s="86" t="str">
        <f t="shared" si="2"/>
        <v/>
      </c>
    </row>
    <row r="31" spans="1:10" ht="16.5">
      <c r="A31" s="118" t="s">
        <v>1070</v>
      </c>
      <c r="B31" s="119">
        <v>43824</v>
      </c>
      <c r="C31" s="86" t="str">
        <f t="shared" si="0"/>
        <v>(수)</v>
      </c>
      <c r="D31" s="84"/>
      <c r="E31" s="85"/>
      <c r="F31" s="86" t="str">
        <f t="shared" si="1"/>
        <v/>
      </c>
      <c r="G31" s="84"/>
      <c r="H31" s="85"/>
      <c r="I31" s="86" t="str">
        <f t="shared" si="2"/>
        <v/>
      </c>
    </row>
    <row r="32" spans="1:10">
      <c r="A32" s="118"/>
      <c r="B32" s="119"/>
      <c r="C32" s="86" t="str">
        <f t="shared" si="0"/>
        <v/>
      </c>
      <c r="D32" s="84"/>
      <c r="E32" s="85"/>
      <c r="F32" s="86" t="str">
        <f t="shared" si="1"/>
        <v/>
      </c>
      <c r="G32" s="84"/>
      <c r="H32" s="85"/>
      <c r="I32" s="86" t="str">
        <f t="shared" si="2"/>
        <v/>
      </c>
    </row>
    <row r="33" spans="1:9">
      <c r="A33" s="118"/>
      <c r="B33" s="119"/>
      <c r="C33" s="86" t="str">
        <f t="shared" si="0"/>
        <v/>
      </c>
      <c r="D33" s="84"/>
      <c r="E33" s="85"/>
      <c r="F33" s="86" t="str">
        <f t="shared" si="1"/>
        <v/>
      </c>
      <c r="G33" s="84"/>
      <c r="H33" s="85"/>
      <c r="I33" s="86" t="str">
        <f t="shared" si="2"/>
        <v/>
      </c>
    </row>
    <row r="34" spans="1:9">
      <c r="A34" s="118"/>
      <c r="B34" s="119"/>
      <c r="C34" s="86" t="str">
        <f t="shared" si="0"/>
        <v/>
      </c>
      <c r="D34" s="84"/>
      <c r="E34" s="85"/>
      <c r="F34" s="86" t="str">
        <f t="shared" si="1"/>
        <v/>
      </c>
      <c r="G34" s="84"/>
      <c r="H34" s="85"/>
      <c r="I34" s="86" t="str">
        <f t="shared" si="2"/>
        <v/>
      </c>
    </row>
    <row r="35" spans="1:9">
      <c r="A35" s="118"/>
      <c r="B35" s="119"/>
      <c r="C35" s="86" t="str">
        <f t="shared" si="0"/>
        <v/>
      </c>
      <c r="D35" s="84"/>
      <c r="E35" s="85"/>
      <c r="F35" s="86" t="str">
        <f t="shared" si="1"/>
        <v/>
      </c>
      <c r="G35" s="84"/>
      <c r="H35" s="85"/>
      <c r="I35" s="86" t="str">
        <f t="shared" si="2"/>
        <v/>
      </c>
    </row>
    <row r="36" spans="1:9">
      <c r="A36" s="118"/>
      <c r="B36" s="119"/>
      <c r="C36" s="86" t="str">
        <f t="shared" si="0"/>
        <v/>
      </c>
      <c r="D36" s="84"/>
      <c r="E36" s="85"/>
      <c r="F36" s="86" t="str">
        <f t="shared" si="1"/>
        <v/>
      </c>
      <c r="G36" s="84"/>
      <c r="H36" s="85"/>
      <c r="I36" s="86" t="str">
        <f t="shared" si="2"/>
        <v/>
      </c>
    </row>
    <row r="37" spans="1:9">
      <c r="A37" s="118"/>
      <c r="B37" s="119"/>
      <c r="C37" s="86" t="str">
        <f t="shared" si="0"/>
        <v/>
      </c>
      <c r="D37" s="84"/>
      <c r="E37" s="85"/>
      <c r="F37" s="86" t="str">
        <f t="shared" si="1"/>
        <v/>
      </c>
      <c r="G37" s="84"/>
      <c r="H37" s="85"/>
      <c r="I37" s="86" t="str">
        <f t="shared" si="2"/>
        <v/>
      </c>
    </row>
    <row r="38" spans="1:9">
      <c r="A38" s="118"/>
      <c r="B38" s="119"/>
      <c r="C38" s="86" t="str">
        <f t="shared" si="0"/>
        <v/>
      </c>
      <c r="D38" s="84"/>
      <c r="E38" s="85"/>
      <c r="F38" s="86" t="str">
        <f t="shared" si="1"/>
        <v/>
      </c>
      <c r="G38" s="84"/>
      <c r="H38" s="85"/>
      <c r="I38" s="86" t="str">
        <f t="shared" si="2"/>
        <v/>
      </c>
    </row>
    <row r="39" spans="1:9">
      <c r="A39" s="118"/>
      <c r="B39" s="119"/>
      <c r="C39" s="86" t="str">
        <f t="shared" si="0"/>
        <v/>
      </c>
      <c r="D39" s="84"/>
      <c r="E39" s="85"/>
      <c r="F39" s="86" t="str">
        <f t="shared" si="1"/>
        <v/>
      </c>
      <c r="G39" s="84"/>
      <c r="H39" s="85"/>
      <c r="I39" s="86" t="str">
        <f t="shared" si="2"/>
        <v/>
      </c>
    </row>
    <row r="40" spans="1:9">
      <c r="A40" s="118"/>
      <c r="B40" s="119"/>
      <c r="C40" s="86" t="str">
        <f t="shared" si="0"/>
        <v/>
      </c>
      <c r="D40" s="84"/>
      <c r="E40" s="85"/>
      <c r="F40" s="86" t="str">
        <f t="shared" si="1"/>
        <v/>
      </c>
      <c r="G40" s="84"/>
      <c r="H40" s="85"/>
      <c r="I40" s="86" t="str">
        <f t="shared" si="2"/>
        <v/>
      </c>
    </row>
    <row r="41" spans="1:9">
      <c r="A41" s="118"/>
      <c r="B41" s="119"/>
      <c r="C41" s="86" t="str">
        <f t="shared" si="0"/>
        <v/>
      </c>
      <c r="D41" s="84"/>
      <c r="E41" s="85"/>
      <c r="F41" s="86" t="str">
        <f t="shared" si="1"/>
        <v/>
      </c>
      <c r="G41" s="84"/>
      <c r="H41" s="85"/>
      <c r="I41" s="86" t="str">
        <f t="shared" si="2"/>
        <v/>
      </c>
    </row>
    <row r="42" spans="1:9">
      <c r="A42" s="118"/>
      <c r="B42" s="119"/>
      <c r="C42" s="86" t="str">
        <f t="shared" si="0"/>
        <v/>
      </c>
      <c r="D42" s="84"/>
      <c r="E42" s="85"/>
      <c r="F42" s="86" t="str">
        <f t="shared" si="1"/>
        <v/>
      </c>
      <c r="G42" s="84"/>
      <c r="H42" s="85"/>
      <c r="I42" s="86" t="str">
        <f t="shared" si="2"/>
        <v/>
      </c>
    </row>
    <row r="43" spans="1:9">
      <c r="A43" s="118"/>
      <c r="B43" s="119"/>
      <c r="C43" s="86" t="str">
        <f t="shared" si="0"/>
        <v/>
      </c>
      <c r="D43" s="84"/>
      <c r="E43" s="85"/>
      <c r="F43" s="86" t="str">
        <f t="shared" si="1"/>
        <v/>
      </c>
      <c r="G43" s="84"/>
      <c r="H43" s="85"/>
      <c r="I43" s="86" t="str">
        <f t="shared" si="2"/>
        <v/>
      </c>
    </row>
    <row r="44" spans="1:9">
      <c r="A44" s="118"/>
      <c r="B44" s="119"/>
      <c r="C44" s="86" t="str">
        <f t="shared" si="0"/>
        <v/>
      </c>
      <c r="D44" s="84"/>
      <c r="E44" s="85"/>
      <c r="F44" s="86" t="str">
        <f t="shared" si="1"/>
        <v/>
      </c>
      <c r="G44" s="84"/>
      <c r="H44" s="85"/>
      <c r="I44" s="86" t="str">
        <f t="shared" si="2"/>
        <v/>
      </c>
    </row>
    <row r="45" spans="1:9">
      <c r="A45" s="118"/>
      <c r="B45" s="119"/>
      <c r="C45" s="86" t="str">
        <f t="shared" si="0"/>
        <v/>
      </c>
      <c r="D45" s="84"/>
      <c r="E45" s="85"/>
      <c r="F45" s="86" t="str">
        <f t="shared" si="1"/>
        <v/>
      </c>
      <c r="G45" s="84"/>
      <c r="H45" s="85"/>
      <c r="I45" s="86" t="str">
        <f t="shared" si="2"/>
        <v/>
      </c>
    </row>
    <row r="46" spans="1:9">
      <c r="A46" s="118"/>
      <c r="B46" s="119"/>
      <c r="C46" s="86" t="str">
        <f t="shared" si="0"/>
        <v/>
      </c>
      <c r="D46" s="84"/>
      <c r="E46" s="85"/>
      <c r="F46" s="86" t="str">
        <f t="shared" si="1"/>
        <v/>
      </c>
      <c r="G46" s="84"/>
      <c r="H46" s="85"/>
      <c r="I46" s="86" t="str">
        <f t="shared" si="2"/>
        <v/>
      </c>
    </row>
    <row r="47" spans="1:9">
      <c r="A47" s="118"/>
      <c r="B47" s="119"/>
      <c r="C47" s="86" t="str">
        <f t="shared" si="0"/>
        <v/>
      </c>
      <c r="D47" s="84"/>
      <c r="E47" s="85"/>
      <c r="F47" s="86" t="str">
        <f t="shared" si="1"/>
        <v/>
      </c>
      <c r="G47" s="84"/>
      <c r="H47" s="85"/>
      <c r="I47" s="86" t="str">
        <f t="shared" si="2"/>
        <v/>
      </c>
    </row>
    <row r="48" spans="1:9">
      <c r="A48" s="118"/>
      <c r="B48" s="119"/>
      <c r="C48" s="86" t="str">
        <f t="shared" si="0"/>
        <v/>
      </c>
      <c r="D48" s="84"/>
      <c r="E48" s="85"/>
      <c r="F48" s="86" t="str">
        <f t="shared" si="1"/>
        <v/>
      </c>
      <c r="G48" s="84"/>
      <c r="H48" s="85"/>
      <c r="I48" s="86" t="str">
        <f t="shared" si="2"/>
        <v/>
      </c>
    </row>
    <row r="49" spans="1:9">
      <c r="A49" s="118"/>
      <c r="B49" s="119"/>
      <c r="C49" s="86" t="str">
        <f t="shared" si="0"/>
        <v/>
      </c>
      <c r="D49" s="84"/>
      <c r="E49" s="85"/>
      <c r="F49" s="86" t="str">
        <f t="shared" si="1"/>
        <v/>
      </c>
      <c r="G49" s="84"/>
      <c r="H49" s="85"/>
      <c r="I49" s="86" t="str">
        <f t="shared" si="2"/>
        <v/>
      </c>
    </row>
    <row r="50" spans="1:9">
      <c r="A50" s="118"/>
      <c r="B50" s="119"/>
      <c r="C50" s="86" t="str">
        <f t="shared" si="0"/>
        <v/>
      </c>
      <c r="D50" s="84"/>
      <c r="E50" s="85"/>
      <c r="F50" s="86" t="str">
        <f t="shared" si="1"/>
        <v/>
      </c>
      <c r="G50" s="84"/>
      <c r="H50" s="85"/>
      <c r="I50" s="86" t="str">
        <f t="shared" si="2"/>
        <v/>
      </c>
    </row>
    <row r="51" spans="1:9">
      <c r="A51" s="118"/>
      <c r="B51" s="119"/>
      <c r="C51" s="86" t="str">
        <f t="shared" si="0"/>
        <v/>
      </c>
      <c r="D51" s="84"/>
      <c r="E51" s="85"/>
      <c r="F51" s="86" t="str">
        <f t="shared" si="1"/>
        <v/>
      </c>
      <c r="G51" s="84"/>
      <c r="H51" s="85"/>
      <c r="I51" s="86" t="str">
        <f t="shared" si="2"/>
        <v/>
      </c>
    </row>
    <row r="52" spans="1:9">
      <c r="A52" s="118"/>
      <c r="B52" s="119"/>
      <c r="C52" s="86" t="str">
        <f t="shared" si="0"/>
        <v/>
      </c>
      <c r="D52" s="84"/>
      <c r="E52" s="85"/>
      <c r="F52" s="86" t="str">
        <f t="shared" si="1"/>
        <v/>
      </c>
      <c r="G52" s="84"/>
      <c r="H52" s="85"/>
      <c r="I52" s="86" t="str">
        <f t="shared" si="2"/>
        <v/>
      </c>
    </row>
    <row r="53" spans="1:9">
      <c r="A53" s="118"/>
      <c r="B53" s="119"/>
      <c r="C53" s="86" t="str">
        <f t="shared" si="0"/>
        <v/>
      </c>
      <c r="D53" s="84"/>
      <c r="E53" s="85"/>
      <c r="F53" s="86" t="str">
        <f t="shared" si="1"/>
        <v/>
      </c>
      <c r="G53" s="84"/>
      <c r="H53" s="85"/>
      <c r="I53" s="86" t="str">
        <f t="shared" si="2"/>
        <v/>
      </c>
    </row>
    <row r="54" spans="1:9">
      <c r="A54" s="118"/>
      <c r="B54" s="119"/>
      <c r="C54" s="86" t="str">
        <f t="shared" si="0"/>
        <v/>
      </c>
      <c r="D54" s="84"/>
      <c r="E54" s="85"/>
      <c r="F54" s="86" t="str">
        <f t="shared" si="1"/>
        <v/>
      </c>
      <c r="G54" s="84"/>
      <c r="H54" s="85"/>
      <c r="I54" s="86" t="str">
        <f t="shared" si="2"/>
        <v/>
      </c>
    </row>
    <row r="55" spans="1:9">
      <c r="A55" s="118"/>
      <c r="B55" s="119"/>
      <c r="C55" s="86" t="str">
        <f t="shared" si="0"/>
        <v/>
      </c>
      <c r="D55" s="84"/>
      <c r="E55" s="85"/>
      <c r="F55" s="86" t="str">
        <f t="shared" si="1"/>
        <v/>
      </c>
      <c r="G55" s="84"/>
      <c r="H55" s="85"/>
      <c r="I55" s="86" t="str">
        <f t="shared" si="2"/>
        <v/>
      </c>
    </row>
    <row r="56" spans="1:9">
      <c r="A56" s="118"/>
      <c r="B56" s="119"/>
      <c r="C56" s="86" t="str">
        <f t="shared" si="0"/>
        <v/>
      </c>
      <c r="D56" s="84"/>
      <c r="E56" s="85"/>
      <c r="F56" s="86" t="str">
        <f t="shared" si="1"/>
        <v/>
      </c>
      <c r="G56" s="84"/>
      <c r="H56" s="85"/>
      <c r="I56" s="86" t="str">
        <f t="shared" si="2"/>
        <v/>
      </c>
    </row>
    <row r="57" spans="1:9">
      <c r="A57" s="118"/>
      <c r="B57" s="119"/>
      <c r="C57" s="86" t="str">
        <f t="shared" si="0"/>
        <v/>
      </c>
      <c r="D57" s="84"/>
      <c r="E57" s="85"/>
      <c r="F57" s="86" t="str">
        <f t="shared" si="1"/>
        <v/>
      </c>
      <c r="G57" s="84"/>
      <c r="H57" s="85"/>
      <c r="I57" s="86" t="str">
        <f t="shared" si="2"/>
        <v/>
      </c>
    </row>
    <row r="58" spans="1:9">
      <c r="A58" s="118"/>
      <c r="B58" s="119"/>
      <c r="C58" s="86" t="str">
        <f t="shared" si="0"/>
        <v/>
      </c>
      <c r="D58" s="84"/>
      <c r="E58" s="85"/>
      <c r="F58" s="86" t="str">
        <f t="shared" si="1"/>
        <v/>
      </c>
      <c r="G58" s="84"/>
      <c r="H58" s="85"/>
      <c r="I58" s="86" t="str">
        <f t="shared" si="2"/>
        <v/>
      </c>
    </row>
    <row r="59" spans="1:9">
      <c r="A59" s="118"/>
      <c r="B59" s="119"/>
      <c r="C59" s="86" t="str">
        <f t="shared" si="0"/>
        <v/>
      </c>
      <c r="D59" s="84"/>
      <c r="E59" s="85"/>
      <c r="F59" s="86" t="str">
        <f t="shared" si="1"/>
        <v/>
      </c>
      <c r="G59" s="84"/>
      <c r="H59" s="85"/>
      <c r="I59" s="86" t="str">
        <f t="shared" si="2"/>
        <v/>
      </c>
    </row>
    <row r="60" spans="1:9">
      <c r="A60" s="118"/>
      <c r="B60" s="119"/>
      <c r="C60" s="86" t="str">
        <f t="shared" si="0"/>
        <v/>
      </c>
      <c r="D60" s="84"/>
      <c r="E60" s="85"/>
      <c r="F60" s="86" t="str">
        <f t="shared" si="1"/>
        <v/>
      </c>
      <c r="G60" s="84"/>
      <c r="H60" s="85"/>
      <c r="I60" s="86" t="str">
        <f t="shared" si="2"/>
        <v/>
      </c>
    </row>
    <row r="61" spans="1:9">
      <c r="A61" s="118"/>
      <c r="B61" s="119"/>
      <c r="C61" s="86" t="str">
        <f t="shared" si="0"/>
        <v/>
      </c>
      <c r="D61" s="84"/>
      <c r="E61" s="85"/>
      <c r="F61" s="86" t="str">
        <f t="shared" si="1"/>
        <v/>
      </c>
      <c r="G61" s="84"/>
      <c r="H61" s="85"/>
      <c r="I61" s="86" t="str">
        <f t="shared" si="2"/>
        <v/>
      </c>
    </row>
    <row r="62" spans="1:9">
      <c r="A62" s="118"/>
      <c r="B62" s="119"/>
      <c r="C62" s="86" t="str">
        <f t="shared" si="0"/>
        <v/>
      </c>
      <c r="D62" s="84"/>
      <c r="E62" s="85"/>
      <c r="F62" s="86" t="str">
        <f t="shared" si="1"/>
        <v/>
      </c>
      <c r="G62" s="84"/>
      <c r="H62" s="85"/>
      <c r="I62" s="86" t="str">
        <f t="shared" si="2"/>
        <v/>
      </c>
    </row>
    <row r="63" spans="1:9">
      <c r="A63" s="118"/>
      <c r="B63" s="119"/>
      <c r="C63" s="86" t="str">
        <f t="shared" si="0"/>
        <v/>
      </c>
      <c r="D63" s="84"/>
      <c r="E63" s="85"/>
      <c r="F63" s="86" t="str">
        <f t="shared" si="1"/>
        <v/>
      </c>
      <c r="G63" s="84"/>
      <c r="H63" s="85"/>
      <c r="I63" s="86" t="str">
        <f t="shared" si="2"/>
        <v/>
      </c>
    </row>
    <row r="64" spans="1:9">
      <c r="A64" s="118"/>
      <c r="B64" s="119"/>
      <c r="C64" s="86" t="str">
        <f t="shared" si="0"/>
        <v/>
      </c>
      <c r="D64" s="84"/>
      <c r="E64" s="85"/>
      <c r="F64" s="86" t="str">
        <f t="shared" si="1"/>
        <v/>
      </c>
      <c r="G64" s="84"/>
      <c r="H64" s="85"/>
      <c r="I64" s="86" t="str">
        <f t="shared" si="2"/>
        <v/>
      </c>
    </row>
    <row r="65" spans="1:9">
      <c r="A65" s="118"/>
      <c r="B65" s="119"/>
      <c r="C65" s="86" t="str">
        <f t="shared" si="0"/>
        <v/>
      </c>
      <c r="D65" s="84"/>
      <c r="E65" s="85"/>
      <c r="F65" s="86" t="str">
        <f t="shared" si="1"/>
        <v/>
      </c>
      <c r="G65" s="84"/>
      <c r="H65" s="85"/>
      <c r="I65" s="86" t="str">
        <f t="shared" si="2"/>
        <v/>
      </c>
    </row>
    <row r="66" spans="1:9">
      <c r="A66" s="118"/>
      <c r="B66" s="119"/>
      <c r="C66" s="86" t="str">
        <f t="shared" si="0"/>
        <v/>
      </c>
      <c r="D66" s="84"/>
      <c r="E66" s="85"/>
      <c r="F66" s="86" t="str">
        <f t="shared" si="1"/>
        <v/>
      </c>
      <c r="G66" s="84"/>
      <c r="H66" s="85"/>
      <c r="I66" s="86" t="str">
        <f t="shared" si="2"/>
        <v/>
      </c>
    </row>
    <row r="67" spans="1:9">
      <c r="A67" s="118"/>
      <c r="B67" s="119"/>
      <c r="C67" s="86" t="str">
        <f t="shared" si="0"/>
        <v/>
      </c>
      <c r="D67" s="84"/>
      <c r="E67" s="85"/>
      <c r="F67" s="86" t="str">
        <f t="shared" si="1"/>
        <v/>
      </c>
      <c r="G67" s="84"/>
      <c r="H67" s="85"/>
      <c r="I67" s="86" t="str">
        <f t="shared" si="2"/>
        <v/>
      </c>
    </row>
    <row r="68" spans="1:9">
      <c r="A68" s="118"/>
      <c r="B68" s="119"/>
      <c r="C68" s="86" t="str">
        <f t="shared" si="0"/>
        <v/>
      </c>
      <c r="D68" s="84"/>
      <c r="E68" s="85"/>
      <c r="F68" s="86" t="str">
        <f t="shared" si="1"/>
        <v/>
      </c>
      <c r="G68" s="84"/>
      <c r="H68" s="85"/>
      <c r="I68" s="86" t="str">
        <f t="shared" si="2"/>
        <v/>
      </c>
    </row>
    <row r="69" spans="1:9">
      <c r="A69" s="118"/>
      <c r="B69" s="119"/>
      <c r="C69" s="86" t="str">
        <f t="shared" ref="C69:C132" si="3">IF(B69&gt;0,TEXT(B69,"(aaa)"),"")</f>
        <v/>
      </c>
      <c r="D69" s="84"/>
      <c r="E69" s="85"/>
      <c r="F69" s="86" t="str">
        <f t="shared" ref="F69:F132" si="4">IF(E69&gt;0,TEXT(E69,"(aaa)"),"")</f>
        <v/>
      </c>
      <c r="G69" s="84"/>
      <c r="H69" s="85"/>
      <c r="I69" s="86" t="str">
        <f t="shared" ref="I69:I132" si="5">IF(H69&gt;0,TEXT(H69,"(aaa)"),"")</f>
        <v/>
      </c>
    </row>
    <row r="70" spans="1:9">
      <c r="A70" s="118"/>
      <c r="B70" s="119"/>
      <c r="C70" s="86" t="str">
        <f t="shared" si="3"/>
        <v/>
      </c>
      <c r="D70" s="84"/>
      <c r="E70" s="85"/>
      <c r="F70" s="86" t="str">
        <f t="shared" si="4"/>
        <v/>
      </c>
      <c r="G70" s="84"/>
      <c r="H70" s="85"/>
      <c r="I70" s="86" t="str">
        <f t="shared" si="5"/>
        <v/>
      </c>
    </row>
    <row r="71" spans="1:9">
      <c r="A71" s="118"/>
      <c r="B71" s="119"/>
      <c r="C71" s="86" t="str">
        <f t="shared" si="3"/>
        <v/>
      </c>
      <c r="D71" s="84"/>
      <c r="E71" s="85"/>
      <c r="F71" s="86" t="str">
        <f t="shared" si="4"/>
        <v/>
      </c>
      <c r="G71" s="84"/>
      <c r="H71" s="85"/>
      <c r="I71" s="86" t="str">
        <f t="shared" si="5"/>
        <v/>
      </c>
    </row>
    <row r="72" spans="1:9">
      <c r="A72" s="118"/>
      <c r="B72" s="119"/>
      <c r="C72" s="86" t="str">
        <f t="shared" si="3"/>
        <v/>
      </c>
      <c r="D72" s="84"/>
      <c r="E72" s="85"/>
      <c r="F72" s="86" t="str">
        <f t="shared" si="4"/>
        <v/>
      </c>
      <c r="G72" s="84"/>
      <c r="H72" s="85"/>
      <c r="I72" s="86" t="str">
        <f t="shared" si="5"/>
        <v/>
      </c>
    </row>
    <row r="73" spans="1:9">
      <c r="A73" s="118"/>
      <c r="B73" s="119"/>
      <c r="C73" s="86" t="str">
        <f t="shared" si="3"/>
        <v/>
      </c>
      <c r="D73" s="84"/>
      <c r="E73" s="85"/>
      <c r="F73" s="86" t="str">
        <f t="shared" si="4"/>
        <v/>
      </c>
      <c r="G73" s="84"/>
      <c r="H73" s="85"/>
      <c r="I73" s="86" t="str">
        <f t="shared" si="5"/>
        <v/>
      </c>
    </row>
    <row r="74" spans="1:9">
      <c r="A74" s="118"/>
      <c r="B74" s="119"/>
      <c r="C74" s="86" t="str">
        <f t="shared" si="3"/>
        <v/>
      </c>
      <c r="D74" s="84"/>
      <c r="E74" s="85"/>
      <c r="F74" s="86" t="str">
        <f t="shared" si="4"/>
        <v/>
      </c>
      <c r="G74" s="84"/>
      <c r="H74" s="85"/>
      <c r="I74" s="86" t="str">
        <f t="shared" si="5"/>
        <v/>
      </c>
    </row>
    <row r="75" spans="1:9">
      <c r="A75" s="118"/>
      <c r="B75" s="119"/>
      <c r="C75" s="86" t="str">
        <f t="shared" si="3"/>
        <v/>
      </c>
      <c r="D75" s="84"/>
      <c r="E75" s="85"/>
      <c r="F75" s="86" t="str">
        <f t="shared" si="4"/>
        <v/>
      </c>
      <c r="G75" s="84"/>
      <c r="H75" s="85"/>
      <c r="I75" s="86" t="str">
        <f t="shared" si="5"/>
        <v/>
      </c>
    </row>
    <row r="76" spans="1:9">
      <c r="A76" s="118"/>
      <c r="B76" s="119"/>
      <c r="C76" s="86" t="str">
        <f t="shared" si="3"/>
        <v/>
      </c>
      <c r="D76" s="84"/>
      <c r="E76" s="85"/>
      <c r="F76" s="86" t="str">
        <f t="shared" si="4"/>
        <v/>
      </c>
      <c r="G76" s="84"/>
      <c r="H76" s="85"/>
      <c r="I76" s="86" t="str">
        <f t="shared" si="5"/>
        <v/>
      </c>
    </row>
    <row r="77" spans="1:9">
      <c r="A77" s="118"/>
      <c r="B77" s="119"/>
      <c r="C77" s="86" t="str">
        <f t="shared" si="3"/>
        <v/>
      </c>
      <c r="D77" s="84"/>
      <c r="E77" s="85"/>
      <c r="F77" s="86" t="str">
        <f t="shared" si="4"/>
        <v/>
      </c>
      <c r="G77" s="84"/>
      <c r="H77" s="85"/>
      <c r="I77" s="86" t="str">
        <f t="shared" si="5"/>
        <v/>
      </c>
    </row>
    <row r="78" spans="1:9">
      <c r="A78" s="118"/>
      <c r="B78" s="119"/>
      <c r="C78" s="86" t="str">
        <f t="shared" si="3"/>
        <v/>
      </c>
      <c r="D78" s="84"/>
      <c r="E78" s="85"/>
      <c r="F78" s="86" t="str">
        <f t="shared" si="4"/>
        <v/>
      </c>
      <c r="G78" s="84"/>
      <c r="H78" s="85"/>
      <c r="I78" s="86" t="str">
        <f t="shared" si="5"/>
        <v/>
      </c>
    </row>
    <row r="79" spans="1:9">
      <c r="A79" s="118"/>
      <c r="B79" s="119"/>
      <c r="C79" s="86" t="str">
        <f t="shared" si="3"/>
        <v/>
      </c>
      <c r="D79" s="84"/>
      <c r="E79" s="85"/>
      <c r="F79" s="86" t="str">
        <f t="shared" si="4"/>
        <v/>
      </c>
      <c r="G79" s="84"/>
      <c r="H79" s="85"/>
      <c r="I79" s="86" t="str">
        <f t="shared" si="5"/>
        <v/>
      </c>
    </row>
    <row r="80" spans="1:9">
      <c r="A80" s="118"/>
      <c r="B80" s="119"/>
      <c r="C80" s="86" t="str">
        <f t="shared" si="3"/>
        <v/>
      </c>
      <c r="D80" s="84"/>
      <c r="E80" s="85"/>
      <c r="F80" s="86" t="str">
        <f t="shared" si="4"/>
        <v/>
      </c>
      <c r="G80" s="84"/>
      <c r="H80" s="85"/>
      <c r="I80" s="86" t="str">
        <f t="shared" si="5"/>
        <v/>
      </c>
    </row>
    <row r="81" spans="1:9">
      <c r="A81" s="118"/>
      <c r="B81" s="119"/>
      <c r="C81" s="86" t="str">
        <f t="shared" si="3"/>
        <v/>
      </c>
      <c r="D81" s="84"/>
      <c r="E81" s="85"/>
      <c r="F81" s="86" t="str">
        <f t="shared" si="4"/>
        <v/>
      </c>
      <c r="G81" s="84"/>
      <c r="H81" s="85"/>
      <c r="I81" s="86" t="str">
        <f t="shared" si="5"/>
        <v/>
      </c>
    </row>
    <row r="82" spans="1:9">
      <c r="A82" s="118"/>
      <c r="B82" s="119"/>
      <c r="C82" s="86" t="str">
        <f t="shared" si="3"/>
        <v/>
      </c>
      <c r="D82" s="84"/>
      <c r="E82" s="85"/>
      <c r="F82" s="86" t="str">
        <f t="shared" si="4"/>
        <v/>
      </c>
      <c r="G82" s="84"/>
      <c r="H82" s="85"/>
      <c r="I82" s="86" t="str">
        <f t="shared" si="5"/>
        <v/>
      </c>
    </row>
    <row r="83" spans="1:9">
      <c r="A83" s="118"/>
      <c r="B83" s="119"/>
      <c r="C83" s="86" t="str">
        <f t="shared" si="3"/>
        <v/>
      </c>
      <c r="D83" s="84"/>
      <c r="E83" s="85"/>
      <c r="F83" s="86" t="str">
        <f t="shared" si="4"/>
        <v/>
      </c>
      <c r="G83" s="84"/>
      <c r="H83" s="85"/>
      <c r="I83" s="86" t="str">
        <f t="shared" si="5"/>
        <v/>
      </c>
    </row>
    <row r="84" spans="1:9">
      <c r="A84" s="118"/>
      <c r="B84" s="119"/>
      <c r="C84" s="86" t="str">
        <f t="shared" si="3"/>
        <v/>
      </c>
      <c r="D84" s="84"/>
      <c r="E84" s="85"/>
      <c r="F84" s="86" t="str">
        <f t="shared" si="4"/>
        <v/>
      </c>
      <c r="G84" s="84"/>
      <c r="H84" s="85"/>
      <c r="I84" s="86" t="str">
        <f t="shared" si="5"/>
        <v/>
      </c>
    </row>
    <row r="85" spans="1:9">
      <c r="A85" s="118"/>
      <c r="B85" s="119"/>
      <c r="C85" s="86" t="str">
        <f t="shared" si="3"/>
        <v/>
      </c>
      <c r="D85" s="84"/>
      <c r="E85" s="85"/>
      <c r="F85" s="86" t="str">
        <f t="shared" si="4"/>
        <v/>
      </c>
      <c r="G85" s="84"/>
      <c r="H85" s="85"/>
      <c r="I85" s="86" t="str">
        <f t="shared" si="5"/>
        <v/>
      </c>
    </row>
    <row r="86" spans="1:9">
      <c r="A86" s="118"/>
      <c r="B86" s="119"/>
      <c r="C86" s="86" t="str">
        <f t="shared" si="3"/>
        <v/>
      </c>
      <c r="D86" s="84"/>
      <c r="E86" s="85"/>
      <c r="F86" s="86" t="str">
        <f t="shared" si="4"/>
        <v/>
      </c>
      <c r="G86" s="84"/>
      <c r="H86" s="85"/>
      <c r="I86" s="86" t="str">
        <f t="shared" si="5"/>
        <v/>
      </c>
    </row>
    <row r="87" spans="1:9">
      <c r="A87" s="118"/>
      <c r="B87" s="119"/>
      <c r="C87" s="86" t="str">
        <f t="shared" si="3"/>
        <v/>
      </c>
      <c r="D87" s="84"/>
      <c r="E87" s="85"/>
      <c r="F87" s="86" t="str">
        <f t="shared" si="4"/>
        <v/>
      </c>
      <c r="G87" s="84"/>
      <c r="H87" s="85"/>
      <c r="I87" s="86" t="str">
        <f t="shared" si="5"/>
        <v/>
      </c>
    </row>
    <row r="88" spans="1:9">
      <c r="A88" s="118"/>
      <c r="B88" s="119"/>
      <c r="C88" s="86" t="str">
        <f t="shared" si="3"/>
        <v/>
      </c>
      <c r="D88" s="84"/>
      <c r="E88" s="85"/>
      <c r="F88" s="86" t="str">
        <f t="shared" si="4"/>
        <v/>
      </c>
      <c r="G88" s="84"/>
      <c r="H88" s="85"/>
      <c r="I88" s="86" t="str">
        <f t="shared" si="5"/>
        <v/>
      </c>
    </row>
    <row r="89" spans="1:9">
      <c r="A89" s="118"/>
      <c r="B89" s="119"/>
      <c r="C89" s="86" t="str">
        <f t="shared" si="3"/>
        <v/>
      </c>
      <c r="D89" s="84"/>
      <c r="E89" s="85"/>
      <c r="F89" s="86" t="str">
        <f t="shared" si="4"/>
        <v/>
      </c>
      <c r="G89" s="84"/>
      <c r="H89" s="85"/>
      <c r="I89" s="86" t="str">
        <f t="shared" si="5"/>
        <v/>
      </c>
    </row>
    <row r="90" spans="1:9">
      <c r="A90" s="118"/>
      <c r="B90" s="119"/>
      <c r="C90" s="86" t="str">
        <f t="shared" si="3"/>
        <v/>
      </c>
      <c r="D90" s="84"/>
      <c r="E90" s="85"/>
      <c r="F90" s="86" t="str">
        <f t="shared" si="4"/>
        <v/>
      </c>
      <c r="G90" s="84"/>
      <c r="H90" s="85"/>
      <c r="I90" s="86" t="str">
        <f t="shared" si="5"/>
        <v/>
      </c>
    </row>
    <row r="91" spans="1:9">
      <c r="A91" s="118"/>
      <c r="B91" s="119"/>
      <c r="C91" s="86" t="str">
        <f t="shared" si="3"/>
        <v/>
      </c>
      <c r="D91" s="84"/>
      <c r="E91" s="85"/>
      <c r="F91" s="86" t="str">
        <f t="shared" si="4"/>
        <v/>
      </c>
      <c r="G91" s="84"/>
      <c r="H91" s="85"/>
      <c r="I91" s="86" t="str">
        <f t="shared" si="5"/>
        <v/>
      </c>
    </row>
    <row r="92" spans="1:9">
      <c r="A92" s="118"/>
      <c r="B92" s="119"/>
      <c r="C92" s="86" t="str">
        <f t="shared" si="3"/>
        <v/>
      </c>
      <c r="D92" s="84"/>
      <c r="E92" s="85"/>
      <c r="F92" s="86" t="str">
        <f t="shared" si="4"/>
        <v/>
      </c>
      <c r="G92" s="84"/>
      <c r="H92" s="85"/>
      <c r="I92" s="86" t="str">
        <f t="shared" si="5"/>
        <v/>
      </c>
    </row>
    <row r="93" spans="1:9">
      <c r="A93" s="118"/>
      <c r="B93" s="119"/>
      <c r="C93" s="86" t="str">
        <f t="shared" si="3"/>
        <v/>
      </c>
      <c r="D93" s="84"/>
      <c r="E93" s="85"/>
      <c r="F93" s="86" t="str">
        <f t="shared" si="4"/>
        <v/>
      </c>
      <c r="G93" s="84"/>
      <c r="H93" s="85"/>
      <c r="I93" s="86" t="str">
        <f t="shared" si="5"/>
        <v/>
      </c>
    </row>
    <row r="94" spans="1:9">
      <c r="A94" s="118"/>
      <c r="B94" s="119"/>
      <c r="C94" s="86" t="str">
        <f t="shared" si="3"/>
        <v/>
      </c>
      <c r="D94" s="84"/>
      <c r="E94" s="85"/>
      <c r="F94" s="86" t="str">
        <f t="shared" si="4"/>
        <v/>
      </c>
      <c r="G94" s="84"/>
      <c r="H94" s="85"/>
      <c r="I94" s="86" t="str">
        <f t="shared" si="5"/>
        <v/>
      </c>
    </row>
    <row r="95" spans="1:9">
      <c r="A95" s="118"/>
      <c r="B95" s="119"/>
      <c r="C95" s="86" t="str">
        <f t="shared" si="3"/>
        <v/>
      </c>
      <c r="D95" s="84"/>
      <c r="E95" s="85"/>
      <c r="F95" s="86" t="str">
        <f t="shared" si="4"/>
        <v/>
      </c>
      <c r="G95" s="84"/>
      <c r="H95" s="85"/>
      <c r="I95" s="86" t="str">
        <f t="shared" si="5"/>
        <v/>
      </c>
    </row>
    <row r="96" spans="1:9">
      <c r="A96" s="118"/>
      <c r="B96" s="119"/>
      <c r="C96" s="86" t="str">
        <f t="shared" si="3"/>
        <v/>
      </c>
      <c r="D96" s="84"/>
      <c r="E96" s="85"/>
      <c r="F96" s="86" t="str">
        <f t="shared" si="4"/>
        <v/>
      </c>
      <c r="G96" s="84"/>
      <c r="H96" s="85"/>
      <c r="I96" s="86" t="str">
        <f t="shared" si="5"/>
        <v/>
      </c>
    </row>
    <row r="97" spans="1:9">
      <c r="A97" s="118"/>
      <c r="B97" s="119"/>
      <c r="C97" s="86" t="str">
        <f t="shared" si="3"/>
        <v/>
      </c>
      <c r="D97" s="84"/>
      <c r="E97" s="85"/>
      <c r="F97" s="86" t="str">
        <f t="shared" si="4"/>
        <v/>
      </c>
      <c r="G97" s="84"/>
      <c r="H97" s="85"/>
      <c r="I97" s="86" t="str">
        <f t="shared" si="5"/>
        <v/>
      </c>
    </row>
    <row r="98" spans="1:9">
      <c r="A98" s="118"/>
      <c r="B98" s="119"/>
      <c r="C98" s="86" t="str">
        <f t="shared" si="3"/>
        <v/>
      </c>
      <c r="D98" s="84"/>
      <c r="E98" s="85"/>
      <c r="F98" s="86" t="str">
        <f t="shared" si="4"/>
        <v/>
      </c>
      <c r="G98" s="84"/>
      <c r="H98" s="85"/>
      <c r="I98" s="86" t="str">
        <f t="shared" si="5"/>
        <v/>
      </c>
    </row>
    <row r="99" spans="1:9">
      <c r="A99" s="118"/>
      <c r="B99" s="119"/>
      <c r="C99" s="86" t="str">
        <f t="shared" si="3"/>
        <v/>
      </c>
      <c r="D99" s="84"/>
      <c r="E99" s="85"/>
      <c r="F99" s="86" t="str">
        <f t="shared" si="4"/>
        <v/>
      </c>
      <c r="G99" s="84"/>
      <c r="H99" s="85"/>
      <c r="I99" s="86" t="str">
        <f t="shared" si="5"/>
        <v/>
      </c>
    </row>
    <row r="100" spans="1:9">
      <c r="A100" s="118"/>
      <c r="B100" s="119"/>
      <c r="C100" s="86" t="str">
        <f t="shared" si="3"/>
        <v/>
      </c>
      <c r="D100" s="84"/>
      <c r="E100" s="85"/>
      <c r="F100" s="86" t="str">
        <f t="shared" si="4"/>
        <v/>
      </c>
      <c r="G100" s="84"/>
      <c r="H100" s="85"/>
      <c r="I100" s="86" t="str">
        <f t="shared" si="5"/>
        <v/>
      </c>
    </row>
    <row r="101" spans="1:9">
      <c r="A101" s="118"/>
      <c r="B101" s="119"/>
      <c r="C101" s="86" t="str">
        <f t="shared" si="3"/>
        <v/>
      </c>
      <c r="D101" s="84"/>
      <c r="E101" s="85"/>
      <c r="F101" s="86" t="str">
        <f t="shared" si="4"/>
        <v/>
      </c>
      <c r="G101" s="84"/>
      <c r="H101" s="85"/>
      <c r="I101" s="86" t="str">
        <f t="shared" si="5"/>
        <v/>
      </c>
    </row>
    <row r="102" spans="1:9">
      <c r="A102" s="118"/>
      <c r="B102" s="119"/>
      <c r="C102" s="86" t="str">
        <f t="shared" si="3"/>
        <v/>
      </c>
      <c r="D102" s="84"/>
      <c r="E102" s="85"/>
      <c r="F102" s="86" t="str">
        <f t="shared" si="4"/>
        <v/>
      </c>
      <c r="G102" s="84"/>
      <c r="H102" s="85"/>
      <c r="I102" s="86" t="str">
        <f t="shared" si="5"/>
        <v/>
      </c>
    </row>
    <row r="103" spans="1:9">
      <c r="A103" s="118"/>
      <c r="B103" s="119"/>
      <c r="C103" s="86" t="str">
        <f t="shared" si="3"/>
        <v/>
      </c>
      <c r="D103" s="84"/>
      <c r="E103" s="85"/>
      <c r="F103" s="86" t="str">
        <f t="shared" si="4"/>
        <v/>
      </c>
      <c r="G103" s="84"/>
      <c r="H103" s="85"/>
      <c r="I103" s="86" t="str">
        <f t="shared" si="5"/>
        <v/>
      </c>
    </row>
    <row r="104" spans="1:9">
      <c r="A104" s="118"/>
      <c r="B104" s="119"/>
      <c r="C104" s="86" t="str">
        <f t="shared" si="3"/>
        <v/>
      </c>
      <c r="D104" s="84"/>
      <c r="E104" s="85"/>
      <c r="F104" s="86" t="str">
        <f t="shared" si="4"/>
        <v/>
      </c>
      <c r="G104" s="84"/>
      <c r="H104" s="85"/>
      <c r="I104" s="86" t="str">
        <f t="shared" si="5"/>
        <v/>
      </c>
    </row>
    <row r="105" spans="1:9">
      <c r="A105" s="118"/>
      <c r="B105" s="119"/>
      <c r="C105" s="86" t="str">
        <f t="shared" si="3"/>
        <v/>
      </c>
      <c r="D105" s="84"/>
      <c r="E105" s="85"/>
      <c r="F105" s="86" t="str">
        <f t="shared" si="4"/>
        <v/>
      </c>
      <c r="G105" s="84"/>
      <c r="H105" s="85"/>
      <c r="I105" s="86" t="str">
        <f t="shared" si="5"/>
        <v/>
      </c>
    </row>
    <row r="106" spans="1:9">
      <c r="A106" s="118"/>
      <c r="B106" s="119"/>
      <c r="C106" s="86" t="str">
        <f t="shared" si="3"/>
        <v/>
      </c>
      <c r="D106" s="84"/>
      <c r="E106" s="85"/>
      <c r="F106" s="86" t="str">
        <f t="shared" si="4"/>
        <v/>
      </c>
      <c r="G106" s="84"/>
      <c r="H106" s="85"/>
      <c r="I106" s="86" t="str">
        <f t="shared" si="5"/>
        <v/>
      </c>
    </row>
    <row r="107" spans="1:9">
      <c r="A107" s="118"/>
      <c r="B107" s="119"/>
      <c r="C107" s="86" t="str">
        <f t="shared" si="3"/>
        <v/>
      </c>
      <c r="D107" s="84"/>
      <c r="E107" s="85"/>
      <c r="F107" s="86" t="str">
        <f t="shared" si="4"/>
        <v/>
      </c>
      <c r="G107" s="84"/>
      <c r="H107" s="85"/>
      <c r="I107" s="86" t="str">
        <f t="shared" si="5"/>
        <v/>
      </c>
    </row>
    <row r="108" spans="1:9">
      <c r="A108" s="118"/>
      <c r="B108" s="119"/>
      <c r="C108" s="86" t="str">
        <f t="shared" si="3"/>
        <v/>
      </c>
      <c r="D108" s="84"/>
      <c r="E108" s="85"/>
      <c r="F108" s="86" t="str">
        <f t="shared" si="4"/>
        <v/>
      </c>
      <c r="G108" s="84"/>
      <c r="H108" s="85"/>
      <c r="I108" s="86" t="str">
        <f t="shared" si="5"/>
        <v/>
      </c>
    </row>
    <row r="109" spans="1:9">
      <c r="A109" s="118"/>
      <c r="B109" s="119"/>
      <c r="C109" s="86" t="str">
        <f t="shared" si="3"/>
        <v/>
      </c>
      <c r="D109" s="84"/>
      <c r="E109" s="85"/>
      <c r="F109" s="86" t="str">
        <f t="shared" si="4"/>
        <v/>
      </c>
      <c r="G109" s="84"/>
      <c r="H109" s="85"/>
      <c r="I109" s="86" t="str">
        <f t="shared" si="5"/>
        <v/>
      </c>
    </row>
    <row r="110" spans="1:9">
      <c r="A110" s="118"/>
      <c r="B110" s="119"/>
      <c r="C110" s="86" t="str">
        <f t="shared" si="3"/>
        <v/>
      </c>
      <c r="D110" s="84"/>
      <c r="E110" s="85"/>
      <c r="F110" s="86" t="str">
        <f t="shared" si="4"/>
        <v/>
      </c>
      <c r="G110" s="84"/>
      <c r="H110" s="85"/>
      <c r="I110" s="86" t="str">
        <f t="shared" si="5"/>
        <v/>
      </c>
    </row>
    <row r="111" spans="1:9">
      <c r="A111" s="118"/>
      <c r="B111" s="119"/>
      <c r="C111" s="86" t="str">
        <f t="shared" si="3"/>
        <v/>
      </c>
      <c r="D111" s="84"/>
      <c r="E111" s="85"/>
      <c r="F111" s="86" t="str">
        <f t="shared" si="4"/>
        <v/>
      </c>
      <c r="G111" s="84"/>
      <c r="H111" s="85"/>
      <c r="I111" s="86" t="str">
        <f t="shared" si="5"/>
        <v/>
      </c>
    </row>
    <row r="112" spans="1:9">
      <c r="A112" s="118"/>
      <c r="B112" s="119"/>
      <c r="C112" s="86" t="str">
        <f t="shared" si="3"/>
        <v/>
      </c>
      <c r="D112" s="84"/>
      <c r="E112" s="85"/>
      <c r="F112" s="86" t="str">
        <f t="shared" si="4"/>
        <v/>
      </c>
      <c r="G112" s="84"/>
      <c r="H112" s="85"/>
      <c r="I112" s="86" t="str">
        <f t="shared" si="5"/>
        <v/>
      </c>
    </row>
    <row r="113" spans="1:9">
      <c r="A113" s="118"/>
      <c r="B113" s="119"/>
      <c r="C113" s="86" t="str">
        <f t="shared" si="3"/>
        <v/>
      </c>
      <c r="D113" s="84"/>
      <c r="E113" s="85"/>
      <c r="F113" s="86" t="str">
        <f t="shared" si="4"/>
        <v/>
      </c>
      <c r="G113" s="84"/>
      <c r="H113" s="85"/>
      <c r="I113" s="86" t="str">
        <f t="shared" si="5"/>
        <v/>
      </c>
    </row>
    <row r="114" spans="1:9">
      <c r="A114" s="118"/>
      <c r="B114" s="119"/>
      <c r="C114" s="86" t="str">
        <f t="shared" si="3"/>
        <v/>
      </c>
      <c r="D114" s="84"/>
      <c r="E114" s="85"/>
      <c r="F114" s="86" t="str">
        <f t="shared" si="4"/>
        <v/>
      </c>
      <c r="G114" s="84"/>
      <c r="H114" s="85"/>
      <c r="I114" s="86" t="str">
        <f t="shared" si="5"/>
        <v/>
      </c>
    </row>
    <row r="115" spans="1:9">
      <c r="A115" s="118"/>
      <c r="B115" s="119"/>
      <c r="C115" s="86" t="str">
        <f t="shared" si="3"/>
        <v/>
      </c>
      <c r="D115" s="84"/>
      <c r="E115" s="85"/>
      <c r="F115" s="86" t="str">
        <f t="shared" si="4"/>
        <v/>
      </c>
      <c r="G115" s="84"/>
      <c r="H115" s="85"/>
      <c r="I115" s="86" t="str">
        <f t="shared" si="5"/>
        <v/>
      </c>
    </row>
    <row r="116" spans="1:9">
      <c r="A116" s="118"/>
      <c r="B116" s="119"/>
      <c r="C116" s="86" t="str">
        <f t="shared" si="3"/>
        <v/>
      </c>
      <c r="D116" s="84"/>
      <c r="E116" s="85"/>
      <c r="F116" s="86" t="str">
        <f t="shared" si="4"/>
        <v/>
      </c>
      <c r="G116" s="84"/>
      <c r="H116" s="85"/>
      <c r="I116" s="86" t="str">
        <f t="shared" si="5"/>
        <v/>
      </c>
    </row>
    <row r="117" spans="1:9">
      <c r="A117" s="118"/>
      <c r="B117" s="119"/>
      <c r="C117" s="86" t="str">
        <f t="shared" si="3"/>
        <v/>
      </c>
      <c r="D117" s="84"/>
      <c r="E117" s="85"/>
      <c r="F117" s="86" t="str">
        <f t="shared" si="4"/>
        <v/>
      </c>
      <c r="G117" s="84"/>
      <c r="H117" s="85"/>
      <c r="I117" s="86" t="str">
        <f t="shared" si="5"/>
        <v/>
      </c>
    </row>
    <row r="118" spans="1:9">
      <c r="A118" s="118"/>
      <c r="B118" s="119"/>
      <c r="C118" s="86" t="str">
        <f t="shared" si="3"/>
        <v/>
      </c>
      <c r="D118" s="84"/>
      <c r="E118" s="85"/>
      <c r="F118" s="86" t="str">
        <f t="shared" si="4"/>
        <v/>
      </c>
      <c r="G118" s="84"/>
      <c r="H118" s="85"/>
      <c r="I118" s="86" t="str">
        <f t="shared" si="5"/>
        <v/>
      </c>
    </row>
    <row r="119" spans="1:9">
      <c r="A119" s="118"/>
      <c r="B119" s="119"/>
      <c r="C119" s="86" t="str">
        <f t="shared" si="3"/>
        <v/>
      </c>
      <c r="D119" s="84"/>
      <c r="E119" s="85"/>
      <c r="F119" s="86" t="str">
        <f t="shared" si="4"/>
        <v/>
      </c>
      <c r="G119" s="84"/>
      <c r="H119" s="85"/>
      <c r="I119" s="86" t="str">
        <f t="shared" si="5"/>
        <v/>
      </c>
    </row>
    <row r="120" spans="1:9">
      <c r="A120" s="118"/>
      <c r="B120" s="119"/>
      <c r="C120" s="86" t="str">
        <f t="shared" si="3"/>
        <v/>
      </c>
      <c r="D120" s="84"/>
      <c r="E120" s="85"/>
      <c r="F120" s="86" t="str">
        <f t="shared" si="4"/>
        <v/>
      </c>
      <c r="G120" s="84"/>
      <c r="H120" s="85"/>
      <c r="I120" s="86" t="str">
        <f t="shared" si="5"/>
        <v/>
      </c>
    </row>
    <row r="121" spans="1:9">
      <c r="A121" s="118"/>
      <c r="B121" s="119"/>
      <c r="C121" s="86" t="str">
        <f t="shared" si="3"/>
        <v/>
      </c>
      <c r="D121" s="84"/>
      <c r="E121" s="85"/>
      <c r="F121" s="86" t="str">
        <f t="shared" si="4"/>
        <v/>
      </c>
      <c r="G121" s="84"/>
      <c r="H121" s="85"/>
      <c r="I121" s="86" t="str">
        <f t="shared" si="5"/>
        <v/>
      </c>
    </row>
    <row r="122" spans="1:9">
      <c r="A122" s="118"/>
      <c r="B122" s="119"/>
      <c r="C122" s="86" t="str">
        <f t="shared" si="3"/>
        <v/>
      </c>
      <c r="D122" s="84"/>
      <c r="E122" s="85"/>
      <c r="F122" s="86" t="str">
        <f t="shared" si="4"/>
        <v/>
      </c>
      <c r="G122" s="84"/>
      <c r="H122" s="85"/>
      <c r="I122" s="86" t="str">
        <f t="shared" si="5"/>
        <v/>
      </c>
    </row>
    <row r="123" spans="1:9">
      <c r="A123" s="118"/>
      <c r="B123" s="120"/>
      <c r="C123" s="86" t="str">
        <f t="shared" si="3"/>
        <v/>
      </c>
      <c r="D123" s="84"/>
      <c r="E123" s="85"/>
      <c r="F123" s="86" t="str">
        <f t="shared" si="4"/>
        <v/>
      </c>
      <c r="G123" s="84"/>
      <c r="H123" s="85"/>
      <c r="I123" s="86" t="str">
        <f t="shared" si="5"/>
        <v/>
      </c>
    </row>
    <row r="124" spans="1:9">
      <c r="A124" s="118"/>
      <c r="B124" s="119"/>
      <c r="C124" s="86" t="str">
        <f t="shared" si="3"/>
        <v/>
      </c>
      <c r="D124" s="84"/>
      <c r="E124" s="85"/>
      <c r="F124" s="86" t="str">
        <f t="shared" si="4"/>
        <v/>
      </c>
      <c r="G124" s="84"/>
      <c r="H124" s="85"/>
      <c r="I124" s="86" t="str">
        <f t="shared" si="5"/>
        <v/>
      </c>
    </row>
    <row r="125" spans="1:9">
      <c r="A125" s="118"/>
      <c r="B125" s="119"/>
      <c r="C125" s="86" t="str">
        <f t="shared" si="3"/>
        <v/>
      </c>
      <c r="D125" s="84"/>
      <c r="E125" s="85"/>
      <c r="F125" s="86" t="str">
        <f t="shared" si="4"/>
        <v/>
      </c>
      <c r="G125" s="84"/>
      <c r="H125" s="85"/>
      <c r="I125" s="86" t="str">
        <f t="shared" si="5"/>
        <v/>
      </c>
    </row>
    <row r="126" spans="1:9">
      <c r="A126" s="118"/>
      <c r="B126" s="119"/>
      <c r="C126" s="86" t="str">
        <f t="shared" si="3"/>
        <v/>
      </c>
      <c r="D126" s="84"/>
      <c r="E126" s="85"/>
      <c r="F126" s="86" t="str">
        <f t="shared" si="4"/>
        <v/>
      </c>
      <c r="G126" s="84"/>
      <c r="H126" s="85"/>
      <c r="I126" s="86" t="str">
        <f t="shared" si="5"/>
        <v/>
      </c>
    </row>
    <row r="127" spans="1:9">
      <c r="A127" s="118"/>
      <c r="B127" s="119"/>
      <c r="C127" s="86" t="str">
        <f t="shared" si="3"/>
        <v/>
      </c>
      <c r="D127" s="84"/>
      <c r="E127" s="85"/>
      <c r="F127" s="86" t="str">
        <f t="shared" si="4"/>
        <v/>
      </c>
      <c r="G127" s="84"/>
      <c r="H127" s="85"/>
      <c r="I127" s="86" t="str">
        <f t="shared" si="5"/>
        <v/>
      </c>
    </row>
    <row r="128" spans="1:9">
      <c r="A128" s="118"/>
      <c r="B128" s="119"/>
      <c r="C128" s="86" t="str">
        <f t="shared" si="3"/>
        <v/>
      </c>
      <c r="D128" s="84"/>
      <c r="E128" s="85"/>
      <c r="F128" s="86" t="str">
        <f t="shared" si="4"/>
        <v/>
      </c>
      <c r="G128" s="84"/>
      <c r="H128" s="85"/>
      <c r="I128" s="86" t="str">
        <f t="shared" si="5"/>
        <v/>
      </c>
    </row>
    <row r="129" spans="1:9">
      <c r="A129" s="118"/>
      <c r="B129" s="119"/>
      <c r="C129" s="86" t="str">
        <f t="shared" si="3"/>
        <v/>
      </c>
      <c r="D129" s="84"/>
      <c r="E129" s="85"/>
      <c r="F129" s="86" t="str">
        <f t="shared" si="4"/>
        <v/>
      </c>
      <c r="G129" s="84"/>
      <c r="H129" s="85"/>
      <c r="I129" s="86" t="str">
        <f t="shared" si="5"/>
        <v/>
      </c>
    </row>
    <row r="130" spans="1:9">
      <c r="A130" s="118"/>
      <c r="B130" s="119"/>
      <c r="C130" s="86" t="str">
        <f t="shared" si="3"/>
        <v/>
      </c>
      <c r="D130" s="84"/>
      <c r="E130" s="85"/>
      <c r="F130" s="86" t="str">
        <f t="shared" si="4"/>
        <v/>
      </c>
      <c r="G130" s="84"/>
      <c r="H130" s="85"/>
      <c r="I130" s="86" t="str">
        <f t="shared" si="5"/>
        <v/>
      </c>
    </row>
    <row r="131" spans="1:9">
      <c r="A131" s="118"/>
      <c r="B131" s="119"/>
      <c r="C131" s="86" t="str">
        <f t="shared" si="3"/>
        <v/>
      </c>
      <c r="D131" s="84"/>
      <c r="E131" s="85"/>
      <c r="F131" s="86" t="str">
        <f t="shared" si="4"/>
        <v/>
      </c>
      <c r="G131" s="84"/>
      <c r="H131" s="85"/>
      <c r="I131" s="86" t="str">
        <f t="shared" si="5"/>
        <v/>
      </c>
    </row>
    <row r="132" spans="1:9">
      <c r="A132" s="118"/>
      <c r="B132" s="119"/>
      <c r="C132" s="86" t="str">
        <f t="shared" si="3"/>
        <v/>
      </c>
      <c r="D132" s="84"/>
      <c r="E132" s="85"/>
      <c r="F132" s="86" t="str">
        <f t="shared" si="4"/>
        <v/>
      </c>
      <c r="G132" s="84"/>
      <c r="H132" s="85"/>
      <c r="I132" s="86" t="str">
        <f t="shared" si="5"/>
        <v/>
      </c>
    </row>
    <row r="133" spans="1:9">
      <c r="A133" s="118"/>
      <c r="B133" s="119"/>
      <c r="C133" s="86" t="str">
        <f t="shared" ref="C133:C196" si="6">IF(B133&gt;0,TEXT(B133,"(aaa)"),"")</f>
        <v/>
      </c>
      <c r="D133" s="84"/>
      <c r="E133" s="85"/>
      <c r="F133" s="86" t="str">
        <f t="shared" ref="F133:F196" si="7">IF(E133&gt;0,TEXT(E133,"(aaa)"),"")</f>
        <v/>
      </c>
      <c r="G133" s="84"/>
      <c r="H133" s="85"/>
      <c r="I133" s="86" t="str">
        <f t="shared" ref="I133:I196" si="8">IF(H133&gt;0,TEXT(H133,"(aaa)"),"")</f>
        <v/>
      </c>
    </row>
    <row r="134" spans="1:9">
      <c r="A134" s="118"/>
      <c r="B134" s="119"/>
      <c r="C134" s="86" t="str">
        <f t="shared" si="6"/>
        <v/>
      </c>
      <c r="D134" s="84"/>
      <c r="E134" s="85"/>
      <c r="F134" s="86" t="str">
        <f t="shared" si="7"/>
        <v/>
      </c>
      <c r="G134" s="84"/>
      <c r="H134" s="85"/>
      <c r="I134" s="86" t="str">
        <f t="shared" si="8"/>
        <v/>
      </c>
    </row>
    <row r="135" spans="1:9">
      <c r="A135" s="118"/>
      <c r="B135" s="119"/>
      <c r="C135" s="86" t="str">
        <f t="shared" si="6"/>
        <v/>
      </c>
      <c r="D135" s="84"/>
      <c r="E135" s="85"/>
      <c r="F135" s="86" t="str">
        <f t="shared" si="7"/>
        <v/>
      </c>
      <c r="G135" s="84"/>
      <c r="H135" s="85"/>
      <c r="I135" s="86" t="str">
        <f t="shared" si="8"/>
        <v/>
      </c>
    </row>
    <row r="136" spans="1:9">
      <c r="A136" s="118"/>
      <c r="B136" s="119"/>
      <c r="C136" s="86" t="str">
        <f t="shared" si="6"/>
        <v/>
      </c>
      <c r="D136" s="84"/>
      <c r="E136" s="85"/>
      <c r="F136" s="86" t="str">
        <f t="shared" si="7"/>
        <v/>
      </c>
      <c r="G136" s="84"/>
      <c r="H136" s="85"/>
      <c r="I136" s="86" t="str">
        <f t="shared" si="8"/>
        <v/>
      </c>
    </row>
    <row r="137" spans="1:9">
      <c r="A137" s="118"/>
      <c r="B137" s="119"/>
      <c r="C137" s="86" t="str">
        <f t="shared" si="6"/>
        <v/>
      </c>
      <c r="D137" s="84"/>
      <c r="E137" s="85"/>
      <c r="F137" s="86" t="str">
        <f t="shared" si="7"/>
        <v/>
      </c>
      <c r="G137" s="84"/>
      <c r="H137" s="85"/>
      <c r="I137" s="86" t="str">
        <f t="shared" si="8"/>
        <v/>
      </c>
    </row>
    <row r="138" spans="1:9">
      <c r="A138" s="118"/>
      <c r="B138" s="119"/>
      <c r="C138" s="86" t="str">
        <f t="shared" si="6"/>
        <v/>
      </c>
      <c r="D138" s="84"/>
      <c r="E138" s="85"/>
      <c r="F138" s="86" t="str">
        <f t="shared" si="7"/>
        <v/>
      </c>
      <c r="G138" s="84"/>
      <c r="H138" s="85"/>
      <c r="I138" s="86" t="str">
        <f t="shared" si="8"/>
        <v/>
      </c>
    </row>
    <row r="139" spans="1:9">
      <c r="A139" s="118"/>
      <c r="B139" s="119"/>
      <c r="C139" s="86" t="str">
        <f t="shared" si="6"/>
        <v/>
      </c>
      <c r="D139" s="84"/>
      <c r="E139" s="85"/>
      <c r="F139" s="86" t="str">
        <f t="shared" si="7"/>
        <v/>
      </c>
      <c r="G139" s="84"/>
      <c r="H139" s="85"/>
      <c r="I139" s="86" t="str">
        <f t="shared" si="8"/>
        <v/>
      </c>
    </row>
    <row r="140" spans="1:9">
      <c r="A140" s="118"/>
      <c r="B140" s="119"/>
      <c r="C140" s="86" t="str">
        <f t="shared" si="6"/>
        <v/>
      </c>
      <c r="D140" s="84"/>
      <c r="E140" s="85"/>
      <c r="F140" s="86" t="str">
        <f t="shared" si="7"/>
        <v/>
      </c>
      <c r="G140" s="84"/>
      <c r="H140" s="85"/>
      <c r="I140" s="86" t="str">
        <f t="shared" si="8"/>
        <v/>
      </c>
    </row>
    <row r="141" spans="1:9">
      <c r="A141" s="118"/>
      <c r="B141" s="119"/>
      <c r="C141" s="86" t="str">
        <f t="shared" si="6"/>
        <v/>
      </c>
      <c r="D141" s="84"/>
      <c r="E141" s="85"/>
      <c r="F141" s="86" t="str">
        <f t="shared" si="7"/>
        <v/>
      </c>
      <c r="G141" s="84"/>
      <c r="H141" s="85"/>
      <c r="I141" s="86" t="str">
        <f t="shared" si="8"/>
        <v/>
      </c>
    </row>
    <row r="142" spans="1:9">
      <c r="A142" s="118"/>
      <c r="B142" s="119"/>
      <c r="C142" s="86" t="str">
        <f t="shared" si="6"/>
        <v/>
      </c>
      <c r="D142" s="84"/>
      <c r="E142" s="85"/>
      <c r="F142" s="86" t="str">
        <f t="shared" si="7"/>
        <v/>
      </c>
      <c r="G142" s="84"/>
      <c r="H142" s="85"/>
      <c r="I142" s="86" t="str">
        <f t="shared" si="8"/>
        <v/>
      </c>
    </row>
    <row r="143" spans="1:9">
      <c r="A143" s="118"/>
      <c r="B143" s="119"/>
      <c r="C143" s="86" t="str">
        <f t="shared" si="6"/>
        <v/>
      </c>
      <c r="D143" s="84"/>
      <c r="E143" s="85"/>
      <c r="F143" s="86" t="str">
        <f t="shared" si="7"/>
        <v/>
      </c>
      <c r="G143" s="84"/>
      <c r="H143" s="85"/>
      <c r="I143" s="86" t="str">
        <f t="shared" si="8"/>
        <v/>
      </c>
    </row>
    <row r="144" spans="1:9">
      <c r="A144" s="118"/>
      <c r="B144" s="119"/>
      <c r="C144" s="86" t="str">
        <f t="shared" si="6"/>
        <v/>
      </c>
      <c r="D144" s="84"/>
      <c r="E144" s="85"/>
      <c r="F144" s="86" t="str">
        <f t="shared" si="7"/>
        <v/>
      </c>
      <c r="G144" s="84"/>
      <c r="H144" s="85"/>
      <c r="I144" s="86" t="str">
        <f t="shared" si="8"/>
        <v/>
      </c>
    </row>
    <row r="145" spans="1:9">
      <c r="A145" s="118"/>
      <c r="B145" s="119"/>
      <c r="C145" s="86" t="str">
        <f t="shared" si="6"/>
        <v/>
      </c>
      <c r="D145" s="84"/>
      <c r="E145" s="85"/>
      <c r="F145" s="86" t="str">
        <f t="shared" si="7"/>
        <v/>
      </c>
      <c r="G145" s="84"/>
      <c r="H145" s="85"/>
      <c r="I145" s="86" t="str">
        <f t="shared" si="8"/>
        <v/>
      </c>
    </row>
    <row r="146" spans="1:9">
      <c r="A146" s="118"/>
      <c r="B146" s="119"/>
      <c r="C146" s="86" t="str">
        <f t="shared" si="6"/>
        <v/>
      </c>
      <c r="D146" s="84"/>
      <c r="E146" s="85"/>
      <c r="F146" s="86" t="str">
        <f t="shared" si="7"/>
        <v/>
      </c>
      <c r="G146" s="84"/>
      <c r="H146" s="85"/>
      <c r="I146" s="86" t="str">
        <f t="shared" si="8"/>
        <v/>
      </c>
    </row>
    <row r="147" spans="1:9">
      <c r="A147" s="118"/>
      <c r="B147" s="119"/>
      <c r="C147" s="86" t="str">
        <f t="shared" si="6"/>
        <v/>
      </c>
      <c r="D147" s="84"/>
      <c r="E147" s="85"/>
      <c r="F147" s="86" t="str">
        <f t="shared" si="7"/>
        <v/>
      </c>
      <c r="G147" s="84"/>
      <c r="H147" s="85"/>
      <c r="I147" s="86" t="str">
        <f t="shared" si="8"/>
        <v/>
      </c>
    </row>
    <row r="148" spans="1:9">
      <c r="A148" s="118"/>
      <c r="B148" s="119"/>
      <c r="C148" s="86" t="str">
        <f t="shared" si="6"/>
        <v/>
      </c>
      <c r="D148" s="84"/>
      <c r="E148" s="85"/>
      <c r="F148" s="86" t="str">
        <f t="shared" si="7"/>
        <v/>
      </c>
      <c r="G148" s="84"/>
      <c r="H148" s="85"/>
      <c r="I148" s="86" t="str">
        <f t="shared" si="8"/>
        <v/>
      </c>
    </row>
    <row r="149" spans="1:9">
      <c r="A149" s="118"/>
      <c r="B149" s="119"/>
      <c r="C149" s="86" t="str">
        <f t="shared" si="6"/>
        <v/>
      </c>
      <c r="D149" s="84"/>
      <c r="E149" s="85"/>
      <c r="F149" s="86" t="str">
        <f t="shared" si="7"/>
        <v/>
      </c>
      <c r="G149" s="84"/>
      <c r="H149" s="85"/>
      <c r="I149" s="86" t="str">
        <f t="shared" si="8"/>
        <v/>
      </c>
    </row>
    <row r="150" spans="1:9">
      <c r="A150" s="118"/>
      <c r="B150" s="119"/>
      <c r="C150" s="86" t="str">
        <f t="shared" si="6"/>
        <v/>
      </c>
      <c r="D150" s="84"/>
      <c r="E150" s="85"/>
      <c r="F150" s="86" t="str">
        <f t="shared" si="7"/>
        <v/>
      </c>
      <c r="G150" s="84"/>
      <c r="H150" s="85"/>
      <c r="I150" s="86" t="str">
        <f t="shared" si="8"/>
        <v/>
      </c>
    </row>
    <row r="151" spans="1:9">
      <c r="A151" s="118"/>
      <c r="B151" s="119"/>
      <c r="C151" s="86" t="str">
        <f t="shared" si="6"/>
        <v/>
      </c>
      <c r="D151" s="84"/>
      <c r="E151" s="85"/>
      <c r="F151" s="86" t="str">
        <f t="shared" si="7"/>
        <v/>
      </c>
      <c r="G151" s="84"/>
      <c r="H151" s="85"/>
      <c r="I151" s="86" t="str">
        <f t="shared" si="8"/>
        <v/>
      </c>
    </row>
    <row r="152" spans="1:9">
      <c r="A152" s="118"/>
      <c r="B152" s="119"/>
      <c r="C152" s="86" t="str">
        <f t="shared" si="6"/>
        <v/>
      </c>
      <c r="D152" s="84"/>
      <c r="E152" s="85"/>
      <c r="F152" s="86" t="str">
        <f t="shared" si="7"/>
        <v/>
      </c>
      <c r="G152" s="84"/>
      <c r="H152" s="85"/>
      <c r="I152" s="86" t="str">
        <f t="shared" si="8"/>
        <v/>
      </c>
    </row>
    <row r="153" spans="1:9">
      <c r="A153" s="118"/>
      <c r="B153" s="119"/>
      <c r="C153" s="86" t="str">
        <f t="shared" si="6"/>
        <v/>
      </c>
      <c r="D153" s="84"/>
      <c r="E153" s="85"/>
      <c r="F153" s="86" t="str">
        <f t="shared" si="7"/>
        <v/>
      </c>
      <c r="G153" s="84"/>
      <c r="H153" s="85"/>
      <c r="I153" s="86" t="str">
        <f t="shared" si="8"/>
        <v/>
      </c>
    </row>
    <row r="154" spans="1:9">
      <c r="A154" s="118"/>
      <c r="B154" s="119"/>
      <c r="C154" s="86" t="str">
        <f t="shared" si="6"/>
        <v/>
      </c>
      <c r="D154" s="84"/>
      <c r="E154" s="85"/>
      <c r="F154" s="86" t="str">
        <f t="shared" si="7"/>
        <v/>
      </c>
      <c r="G154" s="84"/>
      <c r="H154" s="85"/>
      <c r="I154" s="86" t="str">
        <f t="shared" si="8"/>
        <v/>
      </c>
    </row>
    <row r="155" spans="1:9">
      <c r="A155" s="118"/>
      <c r="B155" s="119"/>
      <c r="C155" s="86" t="str">
        <f t="shared" si="6"/>
        <v/>
      </c>
      <c r="D155" s="84"/>
      <c r="E155" s="85"/>
      <c r="F155" s="86" t="str">
        <f t="shared" si="7"/>
        <v/>
      </c>
      <c r="G155" s="84"/>
      <c r="H155" s="85"/>
      <c r="I155" s="86" t="str">
        <f t="shared" si="8"/>
        <v/>
      </c>
    </row>
    <row r="156" spans="1:9">
      <c r="A156" s="118"/>
      <c r="B156" s="119"/>
      <c r="C156" s="86" t="str">
        <f t="shared" si="6"/>
        <v/>
      </c>
      <c r="D156" s="84"/>
      <c r="E156" s="85"/>
      <c r="F156" s="86" t="str">
        <f t="shared" si="7"/>
        <v/>
      </c>
      <c r="G156" s="84"/>
      <c r="H156" s="85"/>
      <c r="I156" s="86" t="str">
        <f t="shared" si="8"/>
        <v/>
      </c>
    </row>
    <row r="157" spans="1:9">
      <c r="A157" s="118"/>
      <c r="B157" s="119"/>
      <c r="C157" s="86" t="str">
        <f t="shared" si="6"/>
        <v/>
      </c>
      <c r="D157" s="84"/>
      <c r="E157" s="85"/>
      <c r="F157" s="86" t="str">
        <f t="shared" si="7"/>
        <v/>
      </c>
      <c r="G157" s="84"/>
      <c r="H157" s="85"/>
      <c r="I157" s="86" t="str">
        <f t="shared" si="8"/>
        <v/>
      </c>
    </row>
    <row r="158" spans="1:9">
      <c r="A158" s="118"/>
      <c r="B158" s="119"/>
      <c r="C158" s="86" t="str">
        <f t="shared" si="6"/>
        <v/>
      </c>
      <c r="D158" s="84"/>
      <c r="E158" s="85"/>
      <c r="F158" s="86" t="str">
        <f t="shared" si="7"/>
        <v/>
      </c>
      <c r="G158" s="84"/>
      <c r="H158" s="85"/>
      <c r="I158" s="86" t="str">
        <f t="shared" si="8"/>
        <v/>
      </c>
    </row>
    <row r="159" spans="1:9">
      <c r="A159" s="118"/>
      <c r="B159" s="119"/>
      <c r="C159" s="86" t="str">
        <f t="shared" si="6"/>
        <v/>
      </c>
      <c r="D159" s="84"/>
      <c r="E159" s="85"/>
      <c r="F159" s="86" t="str">
        <f t="shared" si="7"/>
        <v/>
      </c>
      <c r="G159" s="84"/>
      <c r="H159" s="85"/>
      <c r="I159" s="86" t="str">
        <f t="shared" si="8"/>
        <v/>
      </c>
    </row>
    <row r="160" spans="1:9">
      <c r="A160" s="118"/>
      <c r="B160" s="119"/>
      <c r="C160" s="86" t="str">
        <f t="shared" si="6"/>
        <v/>
      </c>
      <c r="D160" s="84"/>
      <c r="E160" s="85"/>
      <c r="F160" s="86" t="str">
        <f t="shared" si="7"/>
        <v/>
      </c>
      <c r="G160" s="84"/>
      <c r="H160" s="85"/>
      <c r="I160" s="86" t="str">
        <f t="shared" si="8"/>
        <v/>
      </c>
    </row>
    <row r="161" spans="1:9">
      <c r="A161" s="118"/>
      <c r="B161" s="119"/>
      <c r="C161" s="86" t="str">
        <f t="shared" si="6"/>
        <v/>
      </c>
      <c r="D161" s="84"/>
      <c r="E161" s="85"/>
      <c r="F161" s="86" t="str">
        <f t="shared" si="7"/>
        <v/>
      </c>
      <c r="G161" s="84"/>
      <c r="H161" s="85"/>
      <c r="I161" s="86" t="str">
        <f t="shared" si="8"/>
        <v/>
      </c>
    </row>
    <row r="162" spans="1:9">
      <c r="A162" s="118"/>
      <c r="B162" s="119"/>
      <c r="C162" s="86" t="str">
        <f t="shared" si="6"/>
        <v/>
      </c>
      <c r="D162" s="84"/>
      <c r="E162" s="85"/>
      <c r="F162" s="86" t="str">
        <f t="shared" si="7"/>
        <v/>
      </c>
      <c r="G162" s="84"/>
      <c r="H162" s="85"/>
      <c r="I162" s="86" t="str">
        <f t="shared" si="8"/>
        <v/>
      </c>
    </row>
    <row r="163" spans="1:9">
      <c r="A163" s="118"/>
      <c r="B163" s="119"/>
      <c r="C163" s="86" t="str">
        <f t="shared" si="6"/>
        <v/>
      </c>
      <c r="D163" s="84"/>
      <c r="E163" s="85"/>
      <c r="F163" s="86" t="str">
        <f t="shared" si="7"/>
        <v/>
      </c>
      <c r="G163" s="84"/>
      <c r="H163" s="85"/>
      <c r="I163" s="86" t="str">
        <f t="shared" si="8"/>
        <v/>
      </c>
    </row>
    <row r="164" spans="1:9">
      <c r="A164" s="118"/>
      <c r="B164" s="119"/>
      <c r="C164" s="86" t="str">
        <f t="shared" si="6"/>
        <v/>
      </c>
      <c r="D164" s="84"/>
      <c r="E164" s="85"/>
      <c r="F164" s="86" t="str">
        <f t="shared" si="7"/>
        <v/>
      </c>
      <c r="G164" s="84"/>
      <c r="H164" s="85"/>
      <c r="I164" s="86" t="str">
        <f t="shared" si="8"/>
        <v/>
      </c>
    </row>
    <row r="165" spans="1:9">
      <c r="A165" s="118"/>
      <c r="B165" s="119"/>
      <c r="C165" s="86" t="str">
        <f t="shared" si="6"/>
        <v/>
      </c>
      <c r="D165" s="84"/>
      <c r="E165" s="85"/>
      <c r="F165" s="86" t="str">
        <f t="shared" si="7"/>
        <v/>
      </c>
      <c r="G165" s="84"/>
      <c r="H165" s="85"/>
      <c r="I165" s="86" t="str">
        <f t="shared" si="8"/>
        <v/>
      </c>
    </row>
    <row r="166" spans="1:9">
      <c r="A166" s="118"/>
      <c r="B166" s="119"/>
      <c r="C166" s="86" t="str">
        <f t="shared" si="6"/>
        <v/>
      </c>
      <c r="D166" s="84"/>
      <c r="E166" s="85"/>
      <c r="F166" s="86" t="str">
        <f t="shared" si="7"/>
        <v/>
      </c>
      <c r="G166" s="84"/>
      <c r="H166" s="85"/>
      <c r="I166" s="86" t="str">
        <f t="shared" si="8"/>
        <v/>
      </c>
    </row>
    <row r="167" spans="1:9">
      <c r="A167" s="118"/>
      <c r="B167" s="119"/>
      <c r="C167" s="86" t="str">
        <f t="shared" si="6"/>
        <v/>
      </c>
      <c r="D167" s="84"/>
      <c r="E167" s="85"/>
      <c r="F167" s="86" t="str">
        <f t="shared" si="7"/>
        <v/>
      </c>
      <c r="G167" s="84"/>
      <c r="H167" s="85"/>
      <c r="I167" s="86" t="str">
        <f t="shared" si="8"/>
        <v/>
      </c>
    </row>
    <row r="168" spans="1:9">
      <c r="A168" s="118"/>
      <c r="B168" s="119"/>
      <c r="C168" s="86" t="str">
        <f t="shared" si="6"/>
        <v/>
      </c>
      <c r="D168" s="84"/>
      <c r="E168" s="85"/>
      <c r="F168" s="86" t="str">
        <f t="shared" si="7"/>
        <v/>
      </c>
      <c r="G168" s="84"/>
      <c r="H168" s="85"/>
      <c r="I168" s="86" t="str">
        <f t="shared" si="8"/>
        <v/>
      </c>
    </row>
    <row r="169" spans="1:9">
      <c r="A169" s="118"/>
      <c r="B169" s="119"/>
      <c r="C169" s="86" t="str">
        <f t="shared" si="6"/>
        <v/>
      </c>
      <c r="D169" s="84"/>
      <c r="E169" s="85"/>
      <c r="F169" s="86" t="str">
        <f t="shared" si="7"/>
        <v/>
      </c>
      <c r="G169" s="84"/>
      <c r="H169" s="85"/>
      <c r="I169" s="86" t="str">
        <f t="shared" si="8"/>
        <v/>
      </c>
    </row>
    <row r="170" spans="1:9">
      <c r="A170" s="118"/>
      <c r="B170" s="119"/>
      <c r="C170" s="86" t="str">
        <f t="shared" si="6"/>
        <v/>
      </c>
      <c r="D170" s="84"/>
      <c r="E170" s="85"/>
      <c r="F170" s="86" t="str">
        <f t="shared" si="7"/>
        <v/>
      </c>
      <c r="G170" s="84"/>
      <c r="H170" s="85"/>
      <c r="I170" s="86" t="str">
        <f t="shared" si="8"/>
        <v/>
      </c>
    </row>
    <row r="171" spans="1:9">
      <c r="A171" s="118"/>
      <c r="B171" s="119"/>
      <c r="C171" s="86" t="str">
        <f t="shared" si="6"/>
        <v/>
      </c>
      <c r="D171" s="84"/>
      <c r="E171" s="85"/>
      <c r="F171" s="86" t="str">
        <f t="shared" si="7"/>
        <v/>
      </c>
      <c r="G171" s="84"/>
      <c r="H171" s="85"/>
      <c r="I171" s="86" t="str">
        <f t="shared" si="8"/>
        <v/>
      </c>
    </row>
    <row r="172" spans="1:9">
      <c r="A172" s="118"/>
      <c r="B172" s="119"/>
      <c r="C172" s="86" t="str">
        <f t="shared" si="6"/>
        <v/>
      </c>
      <c r="D172" s="84"/>
      <c r="E172" s="85"/>
      <c r="F172" s="86" t="str">
        <f t="shared" si="7"/>
        <v/>
      </c>
      <c r="G172" s="84"/>
      <c r="H172" s="85"/>
      <c r="I172" s="86" t="str">
        <f t="shared" si="8"/>
        <v/>
      </c>
    </row>
    <row r="173" spans="1:9">
      <c r="A173" s="118"/>
      <c r="B173" s="119"/>
      <c r="C173" s="86" t="str">
        <f t="shared" si="6"/>
        <v/>
      </c>
      <c r="D173" s="84"/>
      <c r="E173" s="85"/>
      <c r="F173" s="86" t="str">
        <f t="shared" si="7"/>
        <v/>
      </c>
      <c r="G173" s="84"/>
      <c r="H173" s="85"/>
      <c r="I173" s="86" t="str">
        <f t="shared" si="8"/>
        <v/>
      </c>
    </row>
    <row r="174" spans="1:9">
      <c r="A174" s="118"/>
      <c r="B174" s="119"/>
      <c r="C174" s="86" t="str">
        <f t="shared" si="6"/>
        <v/>
      </c>
      <c r="D174" s="84"/>
      <c r="E174" s="85"/>
      <c r="F174" s="86" t="str">
        <f t="shared" si="7"/>
        <v/>
      </c>
      <c r="G174" s="84"/>
      <c r="H174" s="85"/>
      <c r="I174" s="86" t="str">
        <f t="shared" si="8"/>
        <v/>
      </c>
    </row>
    <row r="175" spans="1:9">
      <c r="A175" s="118"/>
      <c r="B175" s="119"/>
      <c r="C175" s="86" t="str">
        <f t="shared" si="6"/>
        <v/>
      </c>
      <c r="D175" s="84"/>
      <c r="E175" s="85"/>
      <c r="F175" s="86" t="str">
        <f t="shared" si="7"/>
        <v/>
      </c>
      <c r="G175" s="84"/>
      <c r="H175" s="85"/>
      <c r="I175" s="86" t="str">
        <f t="shared" si="8"/>
        <v/>
      </c>
    </row>
    <row r="176" spans="1:9">
      <c r="A176" s="118"/>
      <c r="B176" s="119"/>
      <c r="C176" s="86" t="str">
        <f t="shared" si="6"/>
        <v/>
      </c>
      <c r="D176" s="84"/>
      <c r="E176" s="85"/>
      <c r="F176" s="86" t="str">
        <f t="shared" si="7"/>
        <v/>
      </c>
      <c r="G176" s="84"/>
      <c r="H176" s="85"/>
      <c r="I176" s="86" t="str">
        <f t="shared" si="8"/>
        <v/>
      </c>
    </row>
    <row r="177" spans="1:9">
      <c r="A177" s="118"/>
      <c r="B177" s="119"/>
      <c r="C177" s="86" t="str">
        <f t="shared" si="6"/>
        <v/>
      </c>
      <c r="D177" s="84"/>
      <c r="E177" s="85"/>
      <c r="F177" s="86" t="str">
        <f t="shared" si="7"/>
        <v/>
      </c>
      <c r="G177" s="84"/>
      <c r="H177" s="85"/>
      <c r="I177" s="86" t="str">
        <f t="shared" si="8"/>
        <v/>
      </c>
    </row>
    <row r="178" spans="1:9">
      <c r="A178" s="118"/>
      <c r="B178" s="119"/>
      <c r="C178" s="86" t="str">
        <f t="shared" si="6"/>
        <v/>
      </c>
      <c r="D178" s="84"/>
      <c r="E178" s="85"/>
      <c r="F178" s="86" t="str">
        <f t="shared" si="7"/>
        <v/>
      </c>
      <c r="G178" s="84"/>
      <c r="H178" s="85"/>
      <c r="I178" s="86" t="str">
        <f t="shared" si="8"/>
        <v/>
      </c>
    </row>
    <row r="179" spans="1:9">
      <c r="A179" s="118"/>
      <c r="B179" s="119"/>
      <c r="C179" s="86" t="str">
        <f t="shared" si="6"/>
        <v/>
      </c>
      <c r="D179" s="84"/>
      <c r="E179" s="85"/>
      <c r="F179" s="86" t="str">
        <f t="shared" si="7"/>
        <v/>
      </c>
      <c r="G179" s="84"/>
      <c r="H179" s="85"/>
      <c r="I179" s="86" t="str">
        <f t="shared" si="8"/>
        <v/>
      </c>
    </row>
    <row r="180" spans="1:9">
      <c r="A180" s="118"/>
      <c r="B180" s="119"/>
      <c r="C180" s="86" t="str">
        <f t="shared" si="6"/>
        <v/>
      </c>
      <c r="D180" s="84"/>
      <c r="E180" s="85"/>
      <c r="F180" s="86" t="str">
        <f t="shared" si="7"/>
        <v/>
      </c>
      <c r="G180" s="84"/>
      <c r="H180" s="85"/>
      <c r="I180" s="86" t="str">
        <f t="shared" si="8"/>
        <v/>
      </c>
    </row>
    <row r="181" spans="1:9">
      <c r="A181" s="118"/>
      <c r="B181" s="119"/>
      <c r="C181" s="86" t="str">
        <f t="shared" si="6"/>
        <v/>
      </c>
      <c r="D181" s="84"/>
      <c r="E181" s="85"/>
      <c r="F181" s="86" t="str">
        <f t="shared" si="7"/>
        <v/>
      </c>
      <c r="G181" s="84"/>
      <c r="H181" s="85"/>
      <c r="I181" s="86" t="str">
        <f t="shared" si="8"/>
        <v/>
      </c>
    </row>
    <row r="182" spans="1:9">
      <c r="A182" s="118"/>
      <c r="B182" s="119"/>
      <c r="C182" s="86" t="str">
        <f t="shared" si="6"/>
        <v/>
      </c>
      <c r="D182" s="84"/>
      <c r="E182" s="85"/>
      <c r="F182" s="86" t="str">
        <f t="shared" si="7"/>
        <v/>
      </c>
      <c r="G182" s="84"/>
      <c r="H182" s="85"/>
      <c r="I182" s="86" t="str">
        <f t="shared" si="8"/>
        <v/>
      </c>
    </row>
    <row r="183" spans="1:9">
      <c r="A183" s="118"/>
      <c r="B183" s="119"/>
      <c r="C183" s="86" t="str">
        <f t="shared" si="6"/>
        <v/>
      </c>
      <c r="D183" s="84"/>
      <c r="E183" s="85"/>
      <c r="F183" s="86" t="str">
        <f t="shared" si="7"/>
        <v/>
      </c>
      <c r="G183" s="84"/>
      <c r="H183" s="85"/>
      <c r="I183" s="86" t="str">
        <f t="shared" si="8"/>
        <v/>
      </c>
    </row>
    <row r="184" spans="1:9">
      <c r="A184" s="118"/>
      <c r="B184" s="119"/>
      <c r="C184" s="86" t="str">
        <f t="shared" si="6"/>
        <v/>
      </c>
      <c r="D184" s="84"/>
      <c r="E184" s="85"/>
      <c r="F184" s="86" t="str">
        <f t="shared" si="7"/>
        <v/>
      </c>
      <c r="G184" s="84"/>
      <c r="H184" s="85"/>
      <c r="I184" s="86" t="str">
        <f t="shared" si="8"/>
        <v/>
      </c>
    </row>
    <row r="185" spans="1:9">
      <c r="A185" s="118"/>
      <c r="B185" s="119"/>
      <c r="C185" s="86" t="str">
        <f t="shared" si="6"/>
        <v/>
      </c>
      <c r="D185" s="84"/>
      <c r="E185" s="85"/>
      <c r="F185" s="86" t="str">
        <f t="shared" si="7"/>
        <v/>
      </c>
      <c r="G185" s="84"/>
      <c r="H185" s="85"/>
      <c r="I185" s="86" t="str">
        <f t="shared" si="8"/>
        <v/>
      </c>
    </row>
    <row r="186" spans="1:9">
      <c r="A186" s="118"/>
      <c r="B186" s="119"/>
      <c r="C186" s="86" t="str">
        <f t="shared" si="6"/>
        <v/>
      </c>
      <c r="D186" s="84"/>
      <c r="E186" s="85"/>
      <c r="F186" s="86" t="str">
        <f t="shared" si="7"/>
        <v/>
      </c>
      <c r="G186" s="84"/>
      <c r="H186" s="85"/>
      <c r="I186" s="86" t="str">
        <f t="shared" si="8"/>
        <v/>
      </c>
    </row>
    <row r="187" spans="1:9">
      <c r="A187" s="118"/>
      <c r="B187" s="119"/>
      <c r="C187" s="86" t="str">
        <f t="shared" si="6"/>
        <v/>
      </c>
      <c r="D187" s="84"/>
      <c r="E187" s="85"/>
      <c r="F187" s="86" t="str">
        <f t="shared" si="7"/>
        <v/>
      </c>
      <c r="G187" s="84"/>
      <c r="H187" s="85"/>
      <c r="I187" s="86" t="str">
        <f t="shared" si="8"/>
        <v/>
      </c>
    </row>
    <row r="188" spans="1:9">
      <c r="A188" s="118"/>
      <c r="B188" s="119"/>
      <c r="C188" s="86" t="str">
        <f t="shared" si="6"/>
        <v/>
      </c>
      <c r="D188" s="84"/>
      <c r="E188" s="85"/>
      <c r="F188" s="86" t="str">
        <f t="shared" si="7"/>
        <v/>
      </c>
      <c r="G188" s="84"/>
      <c r="H188" s="85"/>
      <c r="I188" s="86" t="str">
        <f t="shared" si="8"/>
        <v/>
      </c>
    </row>
    <row r="189" spans="1:9">
      <c r="A189" s="118"/>
      <c r="B189" s="119"/>
      <c r="C189" s="86" t="str">
        <f t="shared" si="6"/>
        <v/>
      </c>
      <c r="D189" s="84"/>
      <c r="E189" s="85"/>
      <c r="F189" s="86" t="str">
        <f t="shared" si="7"/>
        <v/>
      </c>
      <c r="G189" s="84"/>
      <c r="H189" s="85"/>
      <c r="I189" s="86" t="str">
        <f t="shared" si="8"/>
        <v/>
      </c>
    </row>
    <row r="190" spans="1:9">
      <c r="A190" s="118"/>
      <c r="B190" s="119"/>
      <c r="C190" s="86" t="str">
        <f t="shared" si="6"/>
        <v/>
      </c>
      <c r="D190" s="84"/>
      <c r="E190" s="85"/>
      <c r="F190" s="86" t="str">
        <f t="shared" si="7"/>
        <v/>
      </c>
      <c r="G190" s="84"/>
      <c r="H190" s="85"/>
      <c r="I190" s="86" t="str">
        <f t="shared" si="8"/>
        <v/>
      </c>
    </row>
    <row r="191" spans="1:9">
      <c r="A191" s="118"/>
      <c r="B191" s="119"/>
      <c r="C191" s="86" t="str">
        <f t="shared" si="6"/>
        <v/>
      </c>
      <c r="D191" s="84"/>
      <c r="E191" s="85"/>
      <c r="F191" s="86" t="str">
        <f t="shared" si="7"/>
        <v/>
      </c>
      <c r="G191" s="84"/>
      <c r="H191" s="85"/>
      <c r="I191" s="86" t="str">
        <f t="shared" si="8"/>
        <v/>
      </c>
    </row>
    <row r="192" spans="1:9">
      <c r="A192" s="118"/>
      <c r="B192" s="119"/>
      <c r="C192" s="86" t="str">
        <f t="shared" si="6"/>
        <v/>
      </c>
      <c r="D192" s="84"/>
      <c r="E192" s="85"/>
      <c r="F192" s="86" t="str">
        <f t="shared" si="7"/>
        <v/>
      </c>
      <c r="G192" s="84"/>
      <c r="H192" s="85"/>
      <c r="I192" s="86" t="str">
        <f t="shared" si="8"/>
        <v/>
      </c>
    </row>
    <row r="193" spans="1:9">
      <c r="A193" s="118"/>
      <c r="B193" s="119"/>
      <c r="C193" s="86" t="str">
        <f t="shared" si="6"/>
        <v/>
      </c>
      <c r="D193" s="84"/>
      <c r="E193" s="85"/>
      <c r="F193" s="86" t="str">
        <f t="shared" si="7"/>
        <v/>
      </c>
      <c r="G193" s="84"/>
      <c r="H193" s="85"/>
      <c r="I193" s="86" t="str">
        <f t="shared" si="8"/>
        <v/>
      </c>
    </row>
    <row r="194" spans="1:9">
      <c r="A194" s="118"/>
      <c r="B194" s="119"/>
      <c r="C194" s="86" t="str">
        <f t="shared" si="6"/>
        <v/>
      </c>
      <c r="D194" s="84"/>
      <c r="E194" s="85"/>
      <c r="F194" s="86" t="str">
        <f t="shared" si="7"/>
        <v/>
      </c>
      <c r="G194" s="84"/>
      <c r="H194" s="85"/>
      <c r="I194" s="86" t="str">
        <f t="shared" si="8"/>
        <v/>
      </c>
    </row>
    <row r="195" spans="1:9">
      <c r="A195" s="118"/>
      <c r="B195" s="119"/>
      <c r="C195" s="86" t="str">
        <f t="shared" si="6"/>
        <v/>
      </c>
      <c r="D195" s="84"/>
      <c r="E195" s="85"/>
      <c r="F195" s="86" t="str">
        <f t="shared" si="7"/>
        <v/>
      </c>
      <c r="G195" s="84"/>
      <c r="H195" s="85"/>
      <c r="I195" s="86" t="str">
        <f t="shared" si="8"/>
        <v/>
      </c>
    </row>
    <row r="196" spans="1:9">
      <c r="A196" s="118"/>
      <c r="B196" s="119"/>
      <c r="C196" s="86" t="str">
        <f t="shared" si="6"/>
        <v/>
      </c>
      <c r="D196" s="84"/>
      <c r="E196" s="85"/>
      <c r="F196" s="86" t="str">
        <f t="shared" si="7"/>
        <v/>
      </c>
      <c r="G196" s="84"/>
      <c r="H196" s="85"/>
      <c r="I196" s="86" t="str">
        <f t="shared" si="8"/>
        <v/>
      </c>
    </row>
    <row r="197" spans="1:9">
      <c r="A197" s="118"/>
      <c r="B197" s="119"/>
      <c r="C197" s="86" t="str">
        <f t="shared" ref="C197:C260" si="9">IF(B197&gt;0,TEXT(B197,"(aaa)"),"")</f>
        <v/>
      </c>
      <c r="D197" s="84"/>
      <c r="E197" s="85"/>
      <c r="F197" s="86" t="str">
        <f t="shared" ref="F197:F260" si="10">IF(E197&gt;0,TEXT(E197,"(aaa)"),"")</f>
        <v/>
      </c>
      <c r="G197" s="84"/>
      <c r="H197" s="85"/>
      <c r="I197" s="86" t="str">
        <f t="shared" ref="I197:I260" si="11">IF(H197&gt;0,TEXT(H197,"(aaa)"),"")</f>
        <v/>
      </c>
    </row>
    <row r="198" spans="1:9">
      <c r="A198" s="118"/>
      <c r="B198" s="119"/>
      <c r="C198" s="86" t="str">
        <f t="shared" si="9"/>
        <v/>
      </c>
      <c r="D198" s="84"/>
      <c r="E198" s="85"/>
      <c r="F198" s="86" t="str">
        <f t="shared" si="10"/>
        <v/>
      </c>
      <c r="G198" s="84"/>
      <c r="H198" s="85"/>
      <c r="I198" s="86" t="str">
        <f t="shared" si="11"/>
        <v/>
      </c>
    </row>
    <row r="199" spans="1:9">
      <c r="A199" s="118"/>
      <c r="B199" s="119"/>
      <c r="C199" s="86" t="str">
        <f t="shared" si="9"/>
        <v/>
      </c>
      <c r="D199" s="84"/>
      <c r="E199" s="85"/>
      <c r="F199" s="86" t="str">
        <f t="shared" si="10"/>
        <v/>
      </c>
      <c r="G199" s="84"/>
      <c r="H199" s="85"/>
      <c r="I199" s="86" t="str">
        <f t="shared" si="11"/>
        <v/>
      </c>
    </row>
    <row r="200" spans="1:9">
      <c r="A200" s="118"/>
      <c r="B200" s="119"/>
      <c r="C200" s="86" t="str">
        <f t="shared" si="9"/>
        <v/>
      </c>
      <c r="D200" s="84"/>
      <c r="E200" s="85"/>
      <c r="F200" s="86" t="str">
        <f t="shared" si="10"/>
        <v/>
      </c>
      <c r="G200" s="84"/>
      <c r="H200" s="85"/>
      <c r="I200" s="86" t="str">
        <f t="shared" si="11"/>
        <v/>
      </c>
    </row>
    <row r="201" spans="1:9">
      <c r="A201" s="118"/>
      <c r="B201" s="119"/>
      <c r="C201" s="86" t="str">
        <f t="shared" si="9"/>
        <v/>
      </c>
      <c r="D201" s="84"/>
      <c r="E201" s="85"/>
      <c r="F201" s="86" t="str">
        <f t="shared" si="10"/>
        <v/>
      </c>
      <c r="G201" s="84"/>
      <c r="H201" s="85"/>
      <c r="I201" s="86" t="str">
        <f t="shared" si="11"/>
        <v/>
      </c>
    </row>
    <row r="202" spans="1:9">
      <c r="A202" s="118"/>
      <c r="B202" s="119"/>
      <c r="C202" s="86" t="str">
        <f t="shared" si="9"/>
        <v/>
      </c>
      <c r="D202" s="84"/>
      <c r="E202" s="85"/>
      <c r="F202" s="86" t="str">
        <f t="shared" si="10"/>
        <v/>
      </c>
      <c r="G202" s="84"/>
      <c r="H202" s="85"/>
      <c r="I202" s="86" t="str">
        <f t="shared" si="11"/>
        <v/>
      </c>
    </row>
    <row r="203" spans="1:9">
      <c r="A203" s="118"/>
      <c r="B203" s="119"/>
      <c r="C203" s="86" t="str">
        <f t="shared" si="9"/>
        <v/>
      </c>
      <c r="D203" s="84"/>
      <c r="E203" s="85"/>
      <c r="F203" s="86" t="str">
        <f t="shared" si="10"/>
        <v/>
      </c>
      <c r="G203" s="84"/>
      <c r="H203" s="85"/>
      <c r="I203" s="86" t="str">
        <f t="shared" si="11"/>
        <v/>
      </c>
    </row>
    <row r="204" spans="1:9">
      <c r="A204" s="118"/>
      <c r="B204" s="119"/>
      <c r="C204" s="86" t="str">
        <f t="shared" si="9"/>
        <v/>
      </c>
      <c r="D204" s="84"/>
      <c r="E204" s="85"/>
      <c r="F204" s="86" t="str">
        <f t="shared" si="10"/>
        <v/>
      </c>
      <c r="G204" s="84"/>
      <c r="H204" s="85"/>
      <c r="I204" s="86" t="str">
        <f t="shared" si="11"/>
        <v/>
      </c>
    </row>
    <row r="205" spans="1:9">
      <c r="A205" s="118"/>
      <c r="B205" s="119"/>
      <c r="C205" s="86" t="str">
        <f t="shared" si="9"/>
        <v/>
      </c>
      <c r="D205" s="84"/>
      <c r="E205" s="85"/>
      <c r="F205" s="86" t="str">
        <f t="shared" si="10"/>
        <v/>
      </c>
      <c r="G205" s="84"/>
      <c r="H205" s="85"/>
      <c r="I205" s="86" t="str">
        <f t="shared" si="11"/>
        <v/>
      </c>
    </row>
    <row r="206" spans="1:9">
      <c r="A206" s="118"/>
      <c r="B206" s="119"/>
      <c r="C206" s="86" t="str">
        <f t="shared" si="9"/>
        <v/>
      </c>
      <c r="D206" s="84"/>
      <c r="E206" s="85"/>
      <c r="F206" s="86" t="str">
        <f t="shared" si="10"/>
        <v/>
      </c>
      <c r="G206" s="84"/>
      <c r="H206" s="85"/>
      <c r="I206" s="86" t="str">
        <f t="shared" si="11"/>
        <v/>
      </c>
    </row>
    <row r="207" spans="1:9">
      <c r="A207" s="118"/>
      <c r="B207" s="119"/>
      <c r="C207" s="86" t="str">
        <f t="shared" si="9"/>
        <v/>
      </c>
      <c r="D207" s="84"/>
      <c r="E207" s="85"/>
      <c r="F207" s="86" t="str">
        <f t="shared" si="10"/>
        <v/>
      </c>
      <c r="G207" s="84"/>
      <c r="H207" s="85"/>
      <c r="I207" s="86" t="str">
        <f t="shared" si="11"/>
        <v/>
      </c>
    </row>
    <row r="208" spans="1:9">
      <c r="A208" s="118"/>
      <c r="B208" s="119"/>
      <c r="C208" s="86" t="str">
        <f t="shared" si="9"/>
        <v/>
      </c>
      <c r="D208" s="84"/>
      <c r="E208" s="85"/>
      <c r="F208" s="86" t="str">
        <f t="shared" si="10"/>
        <v/>
      </c>
      <c r="G208" s="84"/>
      <c r="H208" s="85"/>
      <c r="I208" s="86" t="str">
        <f t="shared" si="11"/>
        <v/>
      </c>
    </row>
    <row r="209" spans="1:9">
      <c r="A209" s="118"/>
      <c r="B209" s="119"/>
      <c r="C209" s="86" t="str">
        <f t="shared" si="9"/>
        <v/>
      </c>
      <c r="D209" s="84"/>
      <c r="E209" s="85"/>
      <c r="F209" s="86" t="str">
        <f t="shared" si="10"/>
        <v/>
      </c>
      <c r="G209" s="84"/>
      <c r="H209" s="85"/>
      <c r="I209" s="86" t="str">
        <f t="shared" si="11"/>
        <v/>
      </c>
    </row>
    <row r="210" spans="1:9">
      <c r="A210" s="118"/>
      <c r="B210" s="119"/>
      <c r="C210" s="86" t="str">
        <f t="shared" si="9"/>
        <v/>
      </c>
      <c r="D210" s="84"/>
      <c r="E210" s="85"/>
      <c r="F210" s="86" t="str">
        <f t="shared" si="10"/>
        <v/>
      </c>
      <c r="G210" s="84"/>
      <c r="H210" s="85"/>
      <c r="I210" s="86" t="str">
        <f t="shared" si="11"/>
        <v/>
      </c>
    </row>
    <row r="211" spans="1:9">
      <c r="A211" s="118"/>
      <c r="B211" s="119"/>
      <c r="C211" s="86" t="str">
        <f t="shared" si="9"/>
        <v/>
      </c>
      <c r="D211" s="84"/>
      <c r="E211" s="85"/>
      <c r="F211" s="86" t="str">
        <f t="shared" si="10"/>
        <v/>
      </c>
      <c r="G211" s="84"/>
      <c r="H211" s="85"/>
      <c r="I211" s="86" t="str">
        <f t="shared" si="11"/>
        <v/>
      </c>
    </row>
    <row r="212" spans="1:9">
      <c r="A212" s="118"/>
      <c r="B212" s="119"/>
      <c r="C212" s="86" t="str">
        <f t="shared" si="9"/>
        <v/>
      </c>
      <c r="D212" s="84"/>
      <c r="E212" s="85"/>
      <c r="F212" s="86" t="str">
        <f t="shared" si="10"/>
        <v/>
      </c>
      <c r="G212" s="84"/>
      <c r="H212" s="85"/>
      <c r="I212" s="86" t="str">
        <f t="shared" si="11"/>
        <v/>
      </c>
    </row>
    <row r="213" spans="1:9">
      <c r="A213" s="118"/>
      <c r="B213" s="119"/>
      <c r="C213" s="86" t="str">
        <f t="shared" si="9"/>
        <v/>
      </c>
      <c r="D213" s="84"/>
      <c r="E213" s="85"/>
      <c r="F213" s="86" t="str">
        <f t="shared" si="10"/>
        <v/>
      </c>
      <c r="G213" s="84"/>
      <c r="H213" s="85"/>
      <c r="I213" s="86" t="str">
        <f t="shared" si="11"/>
        <v/>
      </c>
    </row>
    <row r="214" spans="1:9">
      <c r="A214" s="118"/>
      <c r="B214" s="119"/>
      <c r="C214" s="86" t="str">
        <f t="shared" si="9"/>
        <v/>
      </c>
      <c r="D214" s="84"/>
      <c r="E214" s="85"/>
      <c r="F214" s="86" t="str">
        <f t="shared" si="10"/>
        <v/>
      </c>
      <c r="G214" s="84"/>
      <c r="H214" s="85"/>
      <c r="I214" s="86" t="str">
        <f t="shared" si="11"/>
        <v/>
      </c>
    </row>
    <row r="215" spans="1:9">
      <c r="A215" s="118"/>
      <c r="B215" s="119"/>
      <c r="C215" s="86" t="str">
        <f t="shared" si="9"/>
        <v/>
      </c>
      <c r="D215" s="84"/>
      <c r="E215" s="85"/>
      <c r="F215" s="86" t="str">
        <f t="shared" si="10"/>
        <v/>
      </c>
      <c r="G215" s="84"/>
      <c r="H215" s="85"/>
      <c r="I215" s="86" t="str">
        <f t="shared" si="11"/>
        <v/>
      </c>
    </row>
    <row r="216" spans="1:9">
      <c r="A216" s="118"/>
      <c r="B216" s="119"/>
      <c r="C216" s="86" t="str">
        <f t="shared" si="9"/>
        <v/>
      </c>
      <c r="D216" s="84"/>
      <c r="E216" s="85"/>
      <c r="F216" s="86" t="str">
        <f t="shared" si="10"/>
        <v/>
      </c>
      <c r="G216" s="84"/>
      <c r="H216" s="85"/>
      <c r="I216" s="86" t="str">
        <f t="shared" si="11"/>
        <v/>
      </c>
    </row>
    <row r="217" spans="1:9">
      <c r="A217" s="118"/>
      <c r="B217" s="119"/>
      <c r="C217" s="86" t="str">
        <f t="shared" si="9"/>
        <v/>
      </c>
      <c r="D217" s="84"/>
      <c r="E217" s="85"/>
      <c r="F217" s="86" t="str">
        <f t="shared" si="10"/>
        <v/>
      </c>
      <c r="G217" s="84"/>
      <c r="H217" s="85"/>
      <c r="I217" s="86" t="str">
        <f t="shared" si="11"/>
        <v/>
      </c>
    </row>
    <row r="218" spans="1:9">
      <c r="A218" s="118"/>
      <c r="B218" s="119"/>
      <c r="C218" s="86" t="str">
        <f t="shared" si="9"/>
        <v/>
      </c>
      <c r="D218" s="84"/>
      <c r="E218" s="85"/>
      <c r="F218" s="86" t="str">
        <f t="shared" si="10"/>
        <v/>
      </c>
      <c r="G218" s="84"/>
      <c r="H218" s="85"/>
      <c r="I218" s="86" t="str">
        <f t="shared" si="11"/>
        <v/>
      </c>
    </row>
    <row r="219" spans="1:9">
      <c r="A219" s="118"/>
      <c r="B219" s="119"/>
      <c r="C219" s="86" t="str">
        <f t="shared" si="9"/>
        <v/>
      </c>
      <c r="D219" s="84"/>
      <c r="E219" s="85"/>
      <c r="F219" s="86" t="str">
        <f t="shared" si="10"/>
        <v/>
      </c>
      <c r="G219" s="84"/>
      <c r="H219" s="85"/>
      <c r="I219" s="86" t="str">
        <f t="shared" si="11"/>
        <v/>
      </c>
    </row>
    <row r="220" spans="1:9">
      <c r="A220" s="118"/>
      <c r="B220" s="119"/>
      <c r="C220" s="86" t="str">
        <f t="shared" si="9"/>
        <v/>
      </c>
      <c r="D220" s="84"/>
      <c r="E220" s="85"/>
      <c r="F220" s="86" t="str">
        <f t="shared" si="10"/>
        <v/>
      </c>
      <c r="G220" s="84"/>
      <c r="H220" s="85"/>
      <c r="I220" s="86" t="str">
        <f t="shared" si="11"/>
        <v/>
      </c>
    </row>
    <row r="221" spans="1:9">
      <c r="A221" s="118"/>
      <c r="B221" s="119"/>
      <c r="C221" s="86" t="str">
        <f t="shared" si="9"/>
        <v/>
      </c>
      <c r="D221" s="84"/>
      <c r="E221" s="85"/>
      <c r="F221" s="86" t="str">
        <f t="shared" si="10"/>
        <v/>
      </c>
      <c r="G221" s="84"/>
      <c r="H221" s="85"/>
      <c r="I221" s="86" t="str">
        <f t="shared" si="11"/>
        <v/>
      </c>
    </row>
    <row r="222" spans="1:9">
      <c r="A222" s="118"/>
      <c r="B222" s="119"/>
      <c r="C222" s="86" t="str">
        <f t="shared" si="9"/>
        <v/>
      </c>
      <c r="D222" s="84"/>
      <c r="E222" s="85"/>
      <c r="F222" s="86" t="str">
        <f t="shared" si="10"/>
        <v/>
      </c>
      <c r="G222" s="84"/>
      <c r="H222" s="85"/>
      <c r="I222" s="86" t="str">
        <f t="shared" si="11"/>
        <v/>
      </c>
    </row>
    <row r="223" spans="1:9">
      <c r="A223" s="118"/>
      <c r="B223" s="119"/>
      <c r="C223" s="86" t="str">
        <f t="shared" si="9"/>
        <v/>
      </c>
      <c r="D223" s="84"/>
      <c r="E223" s="85"/>
      <c r="F223" s="86" t="str">
        <f t="shared" si="10"/>
        <v/>
      </c>
      <c r="G223" s="84"/>
      <c r="H223" s="85"/>
      <c r="I223" s="86" t="str">
        <f t="shared" si="11"/>
        <v/>
      </c>
    </row>
    <row r="224" spans="1:9">
      <c r="A224" s="118"/>
      <c r="B224" s="119"/>
      <c r="C224" s="86" t="str">
        <f t="shared" si="9"/>
        <v/>
      </c>
      <c r="D224" s="84"/>
      <c r="E224" s="85"/>
      <c r="F224" s="86" t="str">
        <f t="shared" si="10"/>
        <v/>
      </c>
      <c r="G224" s="84"/>
      <c r="H224" s="85"/>
      <c r="I224" s="86" t="str">
        <f t="shared" si="11"/>
        <v/>
      </c>
    </row>
    <row r="225" spans="1:9">
      <c r="A225" s="118"/>
      <c r="B225" s="119"/>
      <c r="C225" s="86" t="str">
        <f t="shared" si="9"/>
        <v/>
      </c>
      <c r="D225" s="84"/>
      <c r="E225" s="85"/>
      <c r="F225" s="86" t="str">
        <f t="shared" si="10"/>
        <v/>
      </c>
      <c r="G225" s="84"/>
      <c r="H225" s="85"/>
      <c r="I225" s="86" t="str">
        <f t="shared" si="11"/>
        <v/>
      </c>
    </row>
    <row r="226" spans="1:9">
      <c r="A226" s="118"/>
      <c r="B226" s="119"/>
      <c r="C226" s="86" t="str">
        <f t="shared" si="9"/>
        <v/>
      </c>
      <c r="D226" s="84"/>
      <c r="E226" s="85"/>
      <c r="F226" s="86" t="str">
        <f t="shared" si="10"/>
        <v/>
      </c>
      <c r="G226" s="84"/>
      <c r="H226" s="85"/>
      <c r="I226" s="86" t="str">
        <f t="shared" si="11"/>
        <v/>
      </c>
    </row>
    <row r="227" spans="1:9">
      <c r="A227" s="118"/>
      <c r="B227" s="119"/>
      <c r="C227" s="86" t="str">
        <f t="shared" si="9"/>
        <v/>
      </c>
      <c r="D227" s="84"/>
      <c r="E227" s="85"/>
      <c r="F227" s="86" t="str">
        <f t="shared" si="10"/>
        <v/>
      </c>
      <c r="G227" s="84"/>
      <c r="H227" s="85"/>
      <c r="I227" s="86" t="str">
        <f t="shared" si="11"/>
        <v/>
      </c>
    </row>
    <row r="228" spans="1:9">
      <c r="A228" s="118"/>
      <c r="B228" s="119"/>
      <c r="C228" s="86" t="str">
        <f t="shared" si="9"/>
        <v/>
      </c>
      <c r="D228" s="84"/>
      <c r="E228" s="85"/>
      <c r="F228" s="86" t="str">
        <f t="shared" si="10"/>
        <v/>
      </c>
      <c r="G228" s="84"/>
      <c r="H228" s="85"/>
      <c r="I228" s="86" t="str">
        <f t="shared" si="11"/>
        <v/>
      </c>
    </row>
    <row r="229" spans="1:9">
      <c r="A229" s="118"/>
      <c r="B229" s="119"/>
      <c r="C229" s="86" t="str">
        <f t="shared" si="9"/>
        <v/>
      </c>
      <c r="D229" s="84"/>
      <c r="E229" s="85"/>
      <c r="F229" s="86" t="str">
        <f t="shared" si="10"/>
        <v/>
      </c>
      <c r="G229" s="84"/>
      <c r="H229" s="85"/>
      <c r="I229" s="86" t="str">
        <f t="shared" si="11"/>
        <v/>
      </c>
    </row>
    <row r="230" spans="1:9">
      <c r="A230" s="118"/>
      <c r="B230" s="119"/>
      <c r="C230" s="86" t="str">
        <f t="shared" si="9"/>
        <v/>
      </c>
      <c r="D230" s="84"/>
      <c r="E230" s="85"/>
      <c r="F230" s="86" t="str">
        <f t="shared" si="10"/>
        <v/>
      </c>
      <c r="G230" s="84"/>
      <c r="H230" s="85"/>
      <c r="I230" s="86" t="str">
        <f t="shared" si="11"/>
        <v/>
      </c>
    </row>
    <row r="231" spans="1:9">
      <c r="A231" s="118"/>
      <c r="B231" s="119"/>
      <c r="C231" s="86" t="str">
        <f t="shared" si="9"/>
        <v/>
      </c>
      <c r="D231" s="84"/>
      <c r="E231" s="85"/>
      <c r="F231" s="86" t="str">
        <f t="shared" si="10"/>
        <v/>
      </c>
      <c r="G231" s="84"/>
      <c r="H231" s="85"/>
      <c r="I231" s="86" t="str">
        <f t="shared" si="11"/>
        <v/>
      </c>
    </row>
    <row r="232" spans="1:9">
      <c r="A232" s="118"/>
      <c r="B232" s="119"/>
      <c r="C232" s="86" t="str">
        <f t="shared" si="9"/>
        <v/>
      </c>
      <c r="D232" s="84"/>
      <c r="E232" s="85"/>
      <c r="F232" s="86" t="str">
        <f t="shared" si="10"/>
        <v/>
      </c>
      <c r="G232" s="84"/>
      <c r="H232" s="85"/>
      <c r="I232" s="86" t="str">
        <f t="shared" si="11"/>
        <v/>
      </c>
    </row>
    <row r="233" spans="1:9">
      <c r="A233" s="118"/>
      <c r="B233" s="119"/>
      <c r="C233" s="86" t="str">
        <f t="shared" si="9"/>
        <v/>
      </c>
      <c r="D233" s="84"/>
      <c r="E233" s="85"/>
      <c r="F233" s="86" t="str">
        <f t="shared" si="10"/>
        <v/>
      </c>
      <c r="G233" s="84"/>
      <c r="H233" s="85"/>
      <c r="I233" s="86" t="str">
        <f t="shared" si="11"/>
        <v/>
      </c>
    </row>
    <row r="234" spans="1:9">
      <c r="A234" s="118"/>
      <c r="B234" s="119"/>
      <c r="C234" s="86" t="str">
        <f t="shared" si="9"/>
        <v/>
      </c>
      <c r="D234" s="84"/>
      <c r="E234" s="85"/>
      <c r="F234" s="86" t="str">
        <f t="shared" si="10"/>
        <v/>
      </c>
      <c r="G234" s="84"/>
      <c r="H234" s="85"/>
      <c r="I234" s="86" t="str">
        <f t="shared" si="11"/>
        <v/>
      </c>
    </row>
    <row r="235" spans="1:9">
      <c r="A235" s="118"/>
      <c r="B235" s="119"/>
      <c r="C235" s="86" t="str">
        <f t="shared" si="9"/>
        <v/>
      </c>
      <c r="D235" s="84"/>
      <c r="E235" s="85"/>
      <c r="F235" s="86" t="str">
        <f t="shared" si="10"/>
        <v/>
      </c>
      <c r="G235" s="84"/>
      <c r="H235" s="85"/>
      <c r="I235" s="86" t="str">
        <f t="shared" si="11"/>
        <v/>
      </c>
    </row>
    <row r="236" spans="1:9">
      <c r="A236" s="118"/>
      <c r="B236" s="119"/>
      <c r="C236" s="86" t="str">
        <f t="shared" si="9"/>
        <v/>
      </c>
      <c r="D236" s="84"/>
      <c r="E236" s="85"/>
      <c r="F236" s="86" t="str">
        <f t="shared" si="10"/>
        <v/>
      </c>
      <c r="G236" s="84"/>
      <c r="H236" s="85"/>
      <c r="I236" s="86" t="str">
        <f t="shared" si="11"/>
        <v/>
      </c>
    </row>
    <row r="237" spans="1:9">
      <c r="A237" s="118"/>
      <c r="B237" s="119"/>
      <c r="C237" s="86" t="str">
        <f t="shared" si="9"/>
        <v/>
      </c>
      <c r="D237" s="84"/>
      <c r="E237" s="85"/>
      <c r="F237" s="86" t="str">
        <f t="shared" si="10"/>
        <v/>
      </c>
      <c r="G237" s="84"/>
      <c r="H237" s="85"/>
      <c r="I237" s="86" t="str">
        <f t="shared" si="11"/>
        <v/>
      </c>
    </row>
    <row r="238" spans="1:9">
      <c r="A238" s="118"/>
      <c r="B238" s="119"/>
      <c r="C238" s="86" t="str">
        <f t="shared" si="9"/>
        <v/>
      </c>
      <c r="D238" s="84"/>
      <c r="E238" s="85"/>
      <c r="F238" s="86" t="str">
        <f t="shared" si="10"/>
        <v/>
      </c>
      <c r="G238" s="84"/>
      <c r="H238" s="85"/>
      <c r="I238" s="86" t="str">
        <f t="shared" si="11"/>
        <v/>
      </c>
    </row>
    <row r="239" spans="1:9">
      <c r="A239" s="118"/>
      <c r="B239" s="119"/>
      <c r="C239" s="86" t="str">
        <f t="shared" si="9"/>
        <v/>
      </c>
      <c r="D239" s="84"/>
      <c r="E239" s="85"/>
      <c r="F239" s="86" t="str">
        <f t="shared" si="10"/>
        <v/>
      </c>
      <c r="G239" s="84"/>
      <c r="H239" s="85"/>
      <c r="I239" s="86" t="str">
        <f t="shared" si="11"/>
        <v/>
      </c>
    </row>
    <row r="240" spans="1:9">
      <c r="A240" s="118"/>
      <c r="B240" s="119"/>
      <c r="C240" s="86" t="str">
        <f t="shared" si="9"/>
        <v/>
      </c>
      <c r="D240" s="84"/>
      <c r="E240" s="85"/>
      <c r="F240" s="86" t="str">
        <f t="shared" si="10"/>
        <v/>
      </c>
      <c r="G240" s="84"/>
      <c r="H240" s="85"/>
      <c r="I240" s="86" t="str">
        <f t="shared" si="11"/>
        <v/>
      </c>
    </row>
    <row r="241" spans="1:9">
      <c r="A241" s="118"/>
      <c r="B241" s="119"/>
      <c r="C241" s="86" t="str">
        <f t="shared" si="9"/>
        <v/>
      </c>
      <c r="D241" s="84"/>
      <c r="E241" s="85"/>
      <c r="F241" s="86" t="str">
        <f t="shared" si="10"/>
        <v/>
      </c>
      <c r="G241" s="84"/>
      <c r="H241" s="85"/>
      <c r="I241" s="86" t="str">
        <f t="shared" si="11"/>
        <v/>
      </c>
    </row>
    <row r="242" spans="1:9">
      <c r="A242" s="84"/>
      <c r="B242" s="85"/>
      <c r="C242" s="86" t="str">
        <f t="shared" si="9"/>
        <v/>
      </c>
      <c r="D242" s="84"/>
      <c r="E242" s="85"/>
      <c r="F242" s="86" t="str">
        <f t="shared" si="10"/>
        <v/>
      </c>
      <c r="G242" s="84"/>
      <c r="H242" s="85"/>
      <c r="I242" s="86" t="str">
        <f t="shared" si="11"/>
        <v/>
      </c>
    </row>
    <row r="243" spans="1:9">
      <c r="A243" s="84"/>
      <c r="B243" s="85"/>
      <c r="C243" s="86" t="str">
        <f t="shared" si="9"/>
        <v/>
      </c>
      <c r="D243" s="84"/>
      <c r="E243" s="85"/>
      <c r="F243" s="86" t="str">
        <f t="shared" si="10"/>
        <v/>
      </c>
      <c r="G243" s="84"/>
      <c r="H243" s="85"/>
      <c r="I243" s="86" t="str">
        <f t="shared" si="11"/>
        <v/>
      </c>
    </row>
    <row r="244" spans="1:9">
      <c r="A244" s="84"/>
      <c r="B244" s="85"/>
      <c r="C244" s="86" t="str">
        <f t="shared" si="9"/>
        <v/>
      </c>
      <c r="D244" s="84"/>
      <c r="E244" s="85"/>
      <c r="F244" s="86" t="str">
        <f t="shared" si="10"/>
        <v/>
      </c>
      <c r="G244" s="84"/>
      <c r="H244" s="85"/>
      <c r="I244" s="86" t="str">
        <f t="shared" si="11"/>
        <v/>
      </c>
    </row>
    <row r="245" spans="1:9">
      <c r="A245" s="84"/>
      <c r="B245" s="85"/>
      <c r="C245" s="86" t="str">
        <f t="shared" si="9"/>
        <v/>
      </c>
      <c r="D245" s="84"/>
      <c r="E245" s="85"/>
      <c r="F245" s="86" t="str">
        <f t="shared" si="10"/>
        <v/>
      </c>
      <c r="G245" s="84"/>
      <c r="H245" s="85"/>
      <c r="I245" s="86" t="str">
        <f t="shared" si="11"/>
        <v/>
      </c>
    </row>
    <row r="246" spans="1:9">
      <c r="A246" s="84"/>
      <c r="B246" s="85"/>
      <c r="C246" s="86" t="str">
        <f t="shared" si="9"/>
        <v/>
      </c>
      <c r="D246" s="84"/>
      <c r="E246" s="85"/>
      <c r="F246" s="86" t="str">
        <f t="shared" si="10"/>
        <v/>
      </c>
      <c r="G246" s="84"/>
      <c r="H246" s="85"/>
      <c r="I246" s="86" t="str">
        <f t="shared" si="11"/>
        <v/>
      </c>
    </row>
    <row r="247" spans="1:9">
      <c r="A247" s="84"/>
      <c r="B247" s="85"/>
      <c r="C247" s="86" t="str">
        <f t="shared" si="9"/>
        <v/>
      </c>
      <c r="D247" s="84"/>
      <c r="E247" s="85"/>
      <c r="F247" s="86" t="str">
        <f t="shared" si="10"/>
        <v/>
      </c>
      <c r="G247" s="84"/>
      <c r="H247" s="85"/>
      <c r="I247" s="86" t="str">
        <f t="shared" si="11"/>
        <v/>
      </c>
    </row>
    <row r="248" spans="1:9">
      <c r="A248" s="84"/>
      <c r="B248" s="85"/>
      <c r="C248" s="86" t="str">
        <f t="shared" si="9"/>
        <v/>
      </c>
      <c r="D248" s="84"/>
      <c r="E248" s="85"/>
      <c r="F248" s="86" t="str">
        <f t="shared" si="10"/>
        <v/>
      </c>
      <c r="G248" s="84"/>
      <c r="H248" s="85"/>
      <c r="I248" s="86" t="str">
        <f t="shared" si="11"/>
        <v/>
      </c>
    </row>
    <row r="249" spans="1:9">
      <c r="A249" s="84"/>
      <c r="B249" s="85"/>
      <c r="C249" s="86" t="str">
        <f t="shared" si="9"/>
        <v/>
      </c>
      <c r="D249" s="84"/>
      <c r="E249" s="85"/>
      <c r="F249" s="86" t="str">
        <f t="shared" si="10"/>
        <v/>
      </c>
      <c r="G249" s="84"/>
      <c r="H249" s="85"/>
      <c r="I249" s="86" t="str">
        <f t="shared" si="11"/>
        <v/>
      </c>
    </row>
    <row r="250" spans="1:9">
      <c r="A250" s="84"/>
      <c r="B250" s="85"/>
      <c r="C250" s="86" t="str">
        <f t="shared" si="9"/>
        <v/>
      </c>
      <c r="D250" s="84"/>
      <c r="E250" s="85"/>
      <c r="F250" s="86" t="str">
        <f t="shared" si="10"/>
        <v/>
      </c>
      <c r="G250" s="84"/>
      <c r="H250" s="85"/>
      <c r="I250" s="86" t="str">
        <f t="shared" si="11"/>
        <v/>
      </c>
    </row>
    <row r="251" spans="1:9">
      <c r="A251" s="84"/>
      <c r="B251" s="85"/>
      <c r="C251" s="86" t="str">
        <f t="shared" si="9"/>
        <v/>
      </c>
      <c r="D251" s="84"/>
      <c r="E251" s="85"/>
      <c r="F251" s="86" t="str">
        <f t="shared" si="10"/>
        <v/>
      </c>
      <c r="G251" s="84"/>
      <c r="H251" s="85"/>
      <c r="I251" s="86" t="str">
        <f t="shared" si="11"/>
        <v/>
      </c>
    </row>
    <row r="252" spans="1:9">
      <c r="A252" s="84"/>
      <c r="B252" s="85"/>
      <c r="C252" s="86" t="str">
        <f t="shared" si="9"/>
        <v/>
      </c>
      <c r="D252" s="84"/>
      <c r="E252" s="85"/>
      <c r="F252" s="86" t="str">
        <f t="shared" si="10"/>
        <v/>
      </c>
      <c r="G252" s="84"/>
      <c r="H252" s="85"/>
      <c r="I252" s="86" t="str">
        <f t="shared" si="11"/>
        <v/>
      </c>
    </row>
    <row r="253" spans="1:9">
      <c r="A253" s="84"/>
      <c r="B253" s="85"/>
      <c r="C253" s="86" t="str">
        <f t="shared" si="9"/>
        <v/>
      </c>
      <c r="D253" s="84"/>
      <c r="E253" s="85"/>
      <c r="F253" s="86" t="str">
        <f t="shared" si="10"/>
        <v/>
      </c>
      <c r="G253" s="84"/>
      <c r="H253" s="85"/>
      <c r="I253" s="86" t="str">
        <f t="shared" si="11"/>
        <v/>
      </c>
    </row>
    <row r="254" spans="1:9">
      <c r="A254" s="84"/>
      <c r="B254" s="85"/>
      <c r="C254" s="86" t="str">
        <f t="shared" si="9"/>
        <v/>
      </c>
      <c r="D254" s="84"/>
      <c r="E254" s="85"/>
      <c r="F254" s="86" t="str">
        <f t="shared" si="10"/>
        <v/>
      </c>
      <c r="G254" s="84"/>
      <c r="H254" s="85"/>
      <c r="I254" s="86" t="str">
        <f t="shared" si="11"/>
        <v/>
      </c>
    </row>
    <row r="255" spans="1:9">
      <c r="A255" s="84"/>
      <c r="B255" s="85"/>
      <c r="C255" s="86" t="str">
        <f t="shared" si="9"/>
        <v/>
      </c>
      <c r="D255" s="84"/>
      <c r="E255" s="85"/>
      <c r="F255" s="86" t="str">
        <f t="shared" si="10"/>
        <v/>
      </c>
      <c r="G255" s="84"/>
      <c r="H255" s="85"/>
      <c r="I255" s="86" t="str">
        <f t="shared" si="11"/>
        <v/>
      </c>
    </row>
    <row r="256" spans="1:9">
      <c r="A256" s="84"/>
      <c r="B256" s="85"/>
      <c r="C256" s="86" t="str">
        <f t="shared" si="9"/>
        <v/>
      </c>
      <c r="D256" s="84"/>
      <c r="E256" s="85"/>
      <c r="F256" s="86" t="str">
        <f t="shared" si="10"/>
        <v/>
      </c>
      <c r="G256" s="84"/>
      <c r="H256" s="85"/>
      <c r="I256" s="86" t="str">
        <f t="shared" si="11"/>
        <v/>
      </c>
    </row>
    <row r="257" spans="1:9">
      <c r="A257" s="84"/>
      <c r="B257" s="85"/>
      <c r="C257" s="86" t="str">
        <f t="shared" si="9"/>
        <v/>
      </c>
      <c r="D257" s="84"/>
      <c r="E257" s="85"/>
      <c r="F257" s="86" t="str">
        <f t="shared" si="10"/>
        <v/>
      </c>
      <c r="G257" s="84"/>
      <c r="H257" s="85"/>
      <c r="I257" s="86" t="str">
        <f t="shared" si="11"/>
        <v/>
      </c>
    </row>
    <row r="258" spans="1:9">
      <c r="A258" s="84"/>
      <c r="B258" s="85"/>
      <c r="C258" s="86" t="str">
        <f t="shared" si="9"/>
        <v/>
      </c>
      <c r="D258" s="84"/>
      <c r="E258" s="85"/>
      <c r="F258" s="86" t="str">
        <f t="shared" si="10"/>
        <v/>
      </c>
      <c r="G258" s="84"/>
      <c r="H258" s="85"/>
      <c r="I258" s="86" t="str">
        <f t="shared" si="11"/>
        <v/>
      </c>
    </row>
    <row r="259" spans="1:9">
      <c r="A259" s="84"/>
      <c r="B259" s="85"/>
      <c r="C259" s="86" t="str">
        <f t="shared" si="9"/>
        <v/>
      </c>
      <c r="D259" s="84"/>
      <c r="E259" s="85"/>
      <c r="F259" s="86" t="str">
        <f t="shared" si="10"/>
        <v/>
      </c>
      <c r="G259" s="84"/>
      <c r="H259" s="85"/>
      <c r="I259" s="86" t="str">
        <f t="shared" si="11"/>
        <v/>
      </c>
    </row>
    <row r="260" spans="1:9">
      <c r="A260" s="84"/>
      <c r="B260" s="85"/>
      <c r="C260" s="86" t="str">
        <f t="shared" si="9"/>
        <v/>
      </c>
      <c r="D260" s="84"/>
      <c r="E260" s="85"/>
      <c r="F260" s="86" t="str">
        <f t="shared" si="10"/>
        <v/>
      </c>
      <c r="G260" s="84"/>
      <c r="H260" s="85"/>
      <c r="I260" s="86" t="str">
        <f t="shared" si="11"/>
        <v/>
      </c>
    </row>
    <row r="261" spans="1:9">
      <c r="A261" s="84"/>
      <c r="B261" s="85"/>
      <c r="C261" s="86" t="str">
        <f t="shared" ref="C261:C304" si="12">IF(B261&gt;0,TEXT(B261,"(aaa)"),"")</f>
        <v/>
      </c>
      <c r="D261" s="84"/>
      <c r="E261" s="85"/>
      <c r="F261" s="86" t="str">
        <f t="shared" ref="F261:F304" si="13">IF(E261&gt;0,TEXT(E261,"(aaa)"),"")</f>
        <v/>
      </c>
      <c r="G261" s="84"/>
      <c r="H261" s="85"/>
      <c r="I261" s="86" t="str">
        <f t="shared" ref="I261:I304" si="14">IF(H261&gt;0,TEXT(H261,"(aaa)"),"")</f>
        <v/>
      </c>
    </row>
    <row r="262" spans="1:9">
      <c r="A262" s="84"/>
      <c r="B262" s="85"/>
      <c r="C262" s="86" t="str">
        <f t="shared" si="12"/>
        <v/>
      </c>
      <c r="D262" s="84"/>
      <c r="E262" s="85"/>
      <c r="F262" s="86" t="str">
        <f t="shared" si="13"/>
        <v/>
      </c>
      <c r="G262" s="84"/>
      <c r="H262" s="85"/>
      <c r="I262" s="86" t="str">
        <f t="shared" si="14"/>
        <v/>
      </c>
    </row>
    <row r="263" spans="1:9">
      <c r="A263" s="84"/>
      <c r="B263" s="85"/>
      <c r="C263" s="86" t="str">
        <f t="shared" si="12"/>
        <v/>
      </c>
      <c r="D263" s="84"/>
      <c r="E263" s="85"/>
      <c r="F263" s="86" t="str">
        <f t="shared" si="13"/>
        <v/>
      </c>
      <c r="G263" s="84"/>
      <c r="H263" s="85"/>
      <c r="I263" s="86" t="str">
        <f t="shared" si="14"/>
        <v/>
      </c>
    </row>
    <row r="264" spans="1:9">
      <c r="A264" s="84"/>
      <c r="B264" s="85"/>
      <c r="C264" s="86" t="str">
        <f t="shared" si="12"/>
        <v/>
      </c>
      <c r="D264" s="84"/>
      <c r="E264" s="85"/>
      <c r="F264" s="86" t="str">
        <f t="shared" si="13"/>
        <v/>
      </c>
      <c r="G264" s="84"/>
      <c r="H264" s="85"/>
      <c r="I264" s="86" t="str">
        <f t="shared" si="14"/>
        <v/>
      </c>
    </row>
    <row r="265" spans="1:9">
      <c r="A265" s="84"/>
      <c r="B265" s="85"/>
      <c r="C265" s="86" t="str">
        <f t="shared" si="12"/>
        <v/>
      </c>
      <c r="D265" s="84"/>
      <c r="E265" s="85"/>
      <c r="F265" s="86" t="str">
        <f t="shared" si="13"/>
        <v/>
      </c>
      <c r="G265" s="84"/>
      <c r="H265" s="85"/>
      <c r="I265" s="86" t="str">
        <f t="shared" si="14"/>
        <v/>
      </c>
    </row>
    <row r="266" spans="1:9">
      <c r="A266" s="84"/>
      <c r="B266" s="85"/>
      <c r="C266" s="86" t="str">
        <f t="shared" si="12"/>
        <v/>
      </c>
      <c r="D266" s="84"/>
      <c r="E266" s="85"/>
      <c r="F266" s="86" t="str">
        <f t="shared" si="13"/>
        <v/>
      </c>
      <c r="G266" s="84"/>
      <c r="H266" s="85"/>
      <c r="I266" s="86" t="str">
        <f t="shared" si="14"/>
        <v/>
      </c>
    </row>
    <row r="267" spans="1:9">
      <c r="A267" s="84"/>
      <c r="B267" s="85"/>
      <c r="C267" s="86" t="str">
        <f t="shared" si="12"/>
        <v/>
      </c>
      <c r="D267" s="84"/>
      <c r="E267" s="85"/>
      <c r="F267" s="86" t="str">
        <f t="shared" si="13"/>
        <v/>
      </c>
      <c r="G267" s="84"/>
      <c r="H267" s="85"/>
      <c r="I267" s="86" t="str">
        <f t="shared" si="14"/>
        <v/>
      </c>
    </row>
    <row r="268" spans="1:9">
      <c r="A268" s="84"/>
      <c r="B268" s="85"/>
      <c r="C268" s="86" t="str">
        <f t="shared" si="12"/>
        <v/>
      </c>
      <c r="D268" s="84"/>
      <c r="E268" s="85"/>
      <c r="F268" s="86" t="str">
        <f t="shared" si="13"/>
        <v/>
      </c>
      <c r="G268" s="84"/>
      <c r="H268" s="85"/>
      <c r="I268" s="86" t="str">
        <f t="shared" si="14"/>
        <v/>
      </c>
    </row>
    <row r="269" spans="1:9">
      <c r="A269" s="84"/>
      <c r="B269" s="85"/>
      <c r="C269" s="86" t="str">
        <f t="shared" si="12"/>
        <v/>
      </c>
      <c r="D269" s="84"/>
      <c r="E269" s="85"/>
      <c r="F269" s="86" t="str">
        <f t="shared" si="13"/>
        <v/>
      </c>
      <c r="G269" s="84"/>
      <c r="H269" s="85"/>
      <c r="I269" s="86" t="str">
        <f t="shared" si="14"/>
        <v/>
      </c>
    </row>
    <row r="270" spans="1:9">
      <c r="A270" s="84"/>
      <c r="B270" s="85"/>
      <c r="C270" s="86" t="str">
        <f t="shared" si="12"/>
        <v/>
      </c>
      <c r="D270" s="84"/>
      <c r="E270" s="85"/>
      <c r="F270" s="86" t="str">
        <f t="shared" si="13"/>
        <v/>
      </c>
      <c r="G270" s="84"/>
      <c r="H270" s="85"/>
      <c r="I270" s="86" t="str">
        <f t="shared" si="14"/>
        <v/>
      </c>
    </row>
    <row r="271" spans="1:9">
      <c r="A271" s="84"/>
      <c r="B271" s="85"/>
      <c r="C271" s="86" t="str">
        <f t="shared" si="12"/>
        <v/>
      </c>
      <c r="D271" s="84"/>
      <c r="E271" s="85"/>
      <c r="F271" s="86" t="str">
        <f t="shared" si="13"/>
        <v/>
      </c>
      <c r="G271" s="84"/>
      <c r="H271" s="85"/>
      <c r="I271" s="86" t="str">
        <f t="shared" si="14"/>
        <v/>
      </c>
    </row>
    <row r="272" spans="1:9">
      <c r="A272" s="84"/>
      <c r="B272" s="85"/>
      <c r="C272" s="86" t="str">
        <f t="shared" si="12"/>
        <v/>
      </c>
      <c r="D272" s="84"/>
      <c r="E272" s="85"/>
      <c r="F272" s="86" t="str">
        <f t="shared" si="13"/>
        <v/>
      </c>
      <c r="G272" s="84"/>
      <c r="H272" s="85"/>
      <c r="I272" s="86" t="str">
        <f t="shared" si="14"/>
        <v/>
      </c>
    </row>
    <row r="273" spans="1:9">
      <c r="A273" s="84"/>
      <c r="B273" s="85"/>
      <c r="C273" s="86" t="str">
        <f t="shared" si="12"/>
        <v/>
      </c>
      <c r="D273" s="84"/>
      <c r="E273" s="85"/>
      <c r="F273" s="86" t="str">
        <f t="shared" si="13"/>
        <v/>
      </c>
      <c r="G273" s="84"/>
      <c r="H273" s="85"/>
      <c r="I273" s="86" t="str">
        <f t="shared" si="14"/>
        <v/>
      </c>
    </row>
    <row r="274" spans="1:9">
      <c r="A274" s="84"/>
      <c r="B274" s="85"/>
      <c r="C274" s="86" t="str">
        <f t="shared" si="12"/>
        <v/>
      </c>
      <c r="D274" s="84"/>
      <c r="E274" s="85"/>
      <c r="F274" s="86" t="str">
        <f t="shared" si="13"/>
        <v/>
      </c>
      <c r="G274" s="84"/>
      <c r="H274" s="85"/>
      <c r="I274" s="86" t="str">
        <f t="shared" si="14"/>
        <v/>
      </c>
    </row>
    <row r="275" spans="1:9">
      <c r="A275" s="84"/>
      <c r="B275" s="85"/>
      <c r="C275" s="86" t="str">
        <f t="shared" si="12"/>
        <v/>
      </c>
      <c r="D275" s="84"/>
      <c r="E275" s="85"/>
      <c r="F275" s="86" t="str">
        <f t="shared" si="13"/>
        <v/>
      </c>
      <c r="G275" s="84"/>
      <c r="H275" s="85"/>
      <c r="I275" s="86" t="str">
        <f t="shared" si="14"/>
        <v/>
      </c>
    </row>
    <row r="276" spans="1:9">
      <c r="A276" s="84"/>
      <c r="B276" s="85"/>
      <c r="C276" s="86" t="str">
        <f t="shared" si="12"/>
        <v/>
      </c>
      <c r="D276" s="84"/>
      <c r="E276" s="85"/>
      <c r="F276" s="86" t="str">
        <f t="shared" si="13"/>
        <v/>
      </c>
      <c r="G276" s="84"/>
      <c r="H276" s="85"/>
      <c r="I276" s="86" t="str">
        <f t="shared" si="14"/>
        <v/>
      </c>
    </row>
    <row r="277" spans="1:9">
      <c r="A277" s="84"/>
      <c r="B277" s="85"/>
      <c r="C277" s="86" t="str">
        <f t="shared" si="12"/>
        <v/>
      </c>
      <c r="D277" s="84"/>
      <c r="E277" s="85"/>
      <c r="F277" s="86" t="str">
        <f t="shared" si="13"/>
        <v/>
      </c>
      <c r="G277" s="84"/>
      <c r="H277" s="85"/>
      <c r="I277" s="86" t="str">
        <f t="shared" si="14"/>
        <v/>
      </c>
    </row>
    <row r="278" spans="1:9">
      <c r="A278" s="84"/>
      <c r="B278" s="85"/>
      <c r="C278" s="86" t="str">
        <f t="shared" si="12"/>
        <v/>
      </c>
      <c r="D278" s="84"/>
      <c r="E278" s="85"/>
      <c r="F278" s="86" t="str">
        <f t="shared" si="13"/>
        <v/>
      </c>
      <c r="G278" s="84"/>
      <c r="H278" s="85"/>
      <c r="I278" s="86" t="str">
        <f t="shared" si="14"/>
        <v/>
      </c>
    </row>
    <row r="279" spans="1:9">
      <c r="A279" s="84"/>
      <c r="B279" s="85"/>
      <c r="C279" s="86" t="str">
        <f t="shared" si="12"/>
        <v/>
      </c>
      <c r="D279" s="84"/>
      <c r="E279" s="85"/>
      <c r="F279" s="86" t="str">
        <f t="shared" si="13"/>
        <v/>
      </c>
      <c r="G279" s="84"/>
      <c r="H279" s="85"/>
      <c r="I279" s="86" t="str">
        <f t="shared" si="14"/>
        <v/>
      </c>
    </row>
    <row r="280" spans="1:9">
      <c r="A280" s="84"/>
      <c r="B280" s="85"/>
      <c r="C280" s="86" t="str">
        <f t="shared" si="12"/>
        <v/>
      </c>
      <c r="D280" s="84"/>
      <c r="E280" s="85"/>
      <c r="F280" s="86" t="str">
        <f t="shared" si="13"/>
        <v/>
      </c>
      <c r="G280" s="84"/>
      <c r="H280" s="85"/>
      <c r="I280" s="86" t="str">
        <f t="shared" si="14"/>
        <v/>
      </c>
    </row>
    <row r="281" spans="1:9">
      <c r="A281" s="84"/>
      <c r="B281" s="85"/>
      <c r="C281" s="86" t="str">
        <f t="shared" si="12"/>
        <v/>
      </c>
      <c r="D281" s="84"/>
      <c r="E281" s="85"/>
      <c r="F281" s="86" t="str">
        <f t="shared" si="13"/>
        <v/>
      </c>
      <c r="G281" s="84"/>
      <c r="H281" s="85"/>
      <c r="I281" s="86" t="str">
        <f t="shared" si="14"/>
        <v/>
      </c>
    </row>
    <row r="282" spans="1:9">
      <c r="A282" s="84"/>
      <c r="B282" s="85"/>
      <c r="C282" s="86" t="str">
        <f t="shared" si="12"/>
        <v/>
      </c>
      <c r="D282" s="84"/>
      <c r="E282" s="85"/>
      <c r="F282" s="86" t="str">
        <f t="shared" si="13"/>
        <v/>
      </c>
      <c r="G282" s="84"/>
      <c r="H282" s="85"/>
      <c r="I282" s="86" t="str">
        <f t="shared" si="14"/>
        <v/>
      </c>
    </row>
    <row r="283" spans="1:9">
      <c r="A283" s="84"/>
      <c r="B283" s="85"/>
      <c r="C283" s="86" t="str">
        <f t="shared" si="12"/>
        <v/>
      </c>
      <c r="D283" s="84"/>
      <c r="E283" s="85"/>
      <c r="F283" s="86" t="str">
        <f t="shared" si="13"/>
        <v/>
      </c>
      <c r="G283" s="84"/>
      <c r="H283" s="85"/>
      <c r="I283" s="86" t="str">
        <f t="shared" si="14"/>
        <v/>
      </c>
    </row>
    <row r="284" spans="1:9">
      <c r="A284" s="84"/>
      <c r="B284" s="85"/>
      <c r="C284" s="86" t="str">
        <f t="shared" si="12"/>
        <v/>
      </c>
      <c r="D284" s="84"/>
      <c r="E284" s="85"/>
      <c r="F284" s="86" t="str">
        <f t="shared" si="13"/>
        <v/>
      </c>
      <c r="G284" s="84"/>
      <c r="H284" s="85"/>
      <c r="I284" s="86" t="str">
        <f t="shared" si="14"/>
        <v/>
      </c>
    </row>
    <row r="285" spans="1:9">
      <c r="A285" s="84"/>
      <c r="B285" s="85"/>
      <c r="C285" s="86" t="str">
        <f t="shared" si="12"/>
        <v/>
      </c>
      <c r="D285" s="84"/>
      <c r="E285" s="85"/>
      <c r="F285" s="86" t="str">
        <f t="shared" si="13"/>
        <v/>
      </c>
      <c r="G285" s="84"/>
      <c r="H285" s="85"/>
      <c r="I285" s="86" t="str">
        <f t="shared" si="14"/>
        <v/>
      </c>
    </row>
    <row r="286" spans="1:9">
      <c r="A286" s="84"/>
      <c r="B286" s="85"/>
      <c r="C286" s="86" t="str">
        <f t="shared" si="12"/>
        <v/>
      </c>
      <c r="D286" s="84"/>
      <c r="E286" s="85"/>
      <c r="F286" s="86" t="str">
        <f t="shared" si="13"/>
        <v/>
      </c>
      <c r="G286" s="84"/>
      <c r="H286" s="85"/>
      <c r="I286" s="86" t="str">
        <f t="shared" si="14"/>
        <v/>
      </c>
    </row>
    <row r="287" spans="1:9">
      <c r="A287" s="84"/>
      <c r="B287" s="85"/>
      <c r="C287" s="86" t="str">
        <f t="shared" si="12"/>
        <v/>
      </c>
      <c r="D287" s="84"/>
      <c r="E287" s="85"/>
      <c r="F287" s="86" t="str">
        <f t="shared" si="13"/>
        <v/>
      </c>
      <c r="G287" s="84"/>
      <c r="H287" s="85"/>
      <c r="I287" s="86" t="str">
        <f t="shared" si="14"/>
        <v/>
      </c>
    </row>
    <row r="288" spans="1:9">
      <c r="A288" s="84"/>
      <c r="B288" s="85"/>
      <c r="C288" s="86" t="str">
        <f t="shared" si="12"/>
        <v/>
      </c>
      <c r="D288" s="84"/>
      <c r="E288" s="85"/>
      <c r="F288" s="86" t="str">
        <f t="shared" si="13"/>
        <v/>
      </c>
      <c r="G288" s="84"/>
      <c r="H288" s="85"/>
      <c r="I288" s="86" t="str">
        <f t="shared" si="14"/>
        <v/>
      </c>
    </row>
    <row r="289" spans="1:9">
      <c r="A289" s="84"/>
      <c r="B289" s="85"/>
      <c r="C289" s="86" t="str">
        <f t="shared" si="12"/>
        <v/>
      </c>
      <c r="D289" s="84"/>
      <c r="E289" s="85"/>
      <c r="F289" s="86" t="str">
        <f t="shared" si="13"/>
        <v/>
      </c>
      <c r="G289" s="84"/>
      <c r="H289" s="85"/>
      <c r="I289" s="86" t="str">
        <f t="shared" si="14"/>
        <v/>
      </c>
    </row>
    <row r="290" spans="1:9">
      <c r="A290" s="84"/>
      <c r="B290" s="85"/>
      <c r="C290" s="86" t="str">
        <f t="shared" si="12"/>
        <v/>
      </c>
      <c r="D290" s="84"/>
      <c r="E290" s="85"/>
      <c r="F290" s="86" t="str">
        <f t="shared" si="13"/>
        <v/>
      </c>
      <c r="G290" s="84"/>
      <c r="H290" s="85"/>
      <c r="I290" s="86" t="str">
        <f t="shared" si="14"/>
        <v/>
      </c>
    </row>
    <row r="291" spans="1:9">
      <c r="A291" s="84"/>
      <c r="B291" s="85"/>
      <c r="C291" s="86" t="str">
        <f t="shared" si="12"/>
        <v/>
      </c>
      <c r="D291" s="84"/>
      <c r="E291" s="85"/>
      <c r="F291" s="86" t="str">
        <f t="shared" si="13"/>
        <v/>
      </c>
      <c r="G291" s="84"/>
      <c r="H291" s="85"/>
      <c r="I291" s="86" t="str">
        <f t="shared" si="14"/>
        <v/>
      </c>
    </row>
    <row r="292" spans="1:9">
      <c r="A292" s="84"/>
      <c r="B292" s="85"/>
      <c r="C292" s="86" t="str">
        <f t="shared" si="12"/>
        <v/>
      </c>
      <c r="D292" s="84"/>
      <c r="E292" s="85"/>
      <c r="F292" s="86" t="str">
        <f t="shared" si="13"/>
        <v/>
      </c>
      <c r="G292" s="84"/>
      <c r="H292" s="85"/>
      <c r="I292" s="86" t="str">
        <f t="shared" si="14"/>
        <v/>
      </c>
    </row>
    <row r="293" spans="1:9">
      <c r="A293" s="84"/>
      <c r="B293" s="85"/>
      <c r="C293" s="86" t="str">
        <f t="shared" si="12"/>
        <v/>
      </c>
      <c r="D293" s="84"/>
      <c r="E293" s="85"/>
      <c r="F293" s="86" t="str">
        <f t="shared" si="13"/>
        <v/>
      </c>
      <c r="G293" s="84"/>
      <c r="H293" s="85"/>
      <c r="I293" s="86" t="str">
        <f t="shared" si="14"/>
        <v/>
      </c>
    </row>
    <row r="294" spans="1:9">
      <c r="A294" s="84"/>
      <c r="B294" s="85"/>
      <c r="C294" s="86" t="str">
        <f t="shared" si="12"/>
        <v/>
      </c>
      <c r="D294" s="84"/>
      <c r="E294" s="85"/>
      <c r="F294" s="86" t="str">
        <f t="shared" si="13"/>
        <v/>
      </c>
      <c r="G294" s="84"/>
      <c r="H294" s="85"/>
      <c r="I294" s="86" t="str">
        <f t="shared" si="14"/>
        <v/>
      </c>
    </row>
    <row r="295" spans="1:9">
      <c r="A295" s="84"/>
      <c r="B295" s="85"/>
      <c r="C295" s="86" t="str">
        <f t="shared" si="12"/>
        <v/>
      </c>
      <c r="D295" s="84"/>
      <c r="E295" s="85"/>
      <c r="F295" s="86" t="str">
        <f t="shared" si="13"/>
        <v/>
      </c>
      <c r="G295" s="84"/>
      <c r="H295" s="85"/>
      <c r="I295" s="86" t="str">
        <f t="shared" si="14"/>
        <v/>
      </c>
    </row>
    <row r="296" spans="1:9">
      <c r="A296" s="84"/>
      <c r="B296" s="85"/>
      <c r="C296" s="86" t="str">
        <f t="shared" si="12"/>
        <v/>
      </c>
      <c r="D296" s="84"/>
      <c r="E296" s="85"/>
      <c r="F296" s="86" t="str">
        <f t="shared" si="13"/>
        <v/>
      </c>
      <c r="G296" s="84"/>
      <c r="H296" s="85"/>
      <c r="I296" s="86" t="str">
        <f t="shared" si="14"/>
        <v/>
      </c>
    </row>
    <row r="297" spans="1:9">
      <c r="A297" s="84"/>
      <c r="B297" s="85"/>
      <c r="C297" s="86" t="str">
        <f t="shared" si="12"/>
        <v/>
      </c>
      <c r="D297" s="84"/>
      <c r="E297" s="85"/>
      <c r="F297" s="86" t="str">
        <f t="shared" si="13"/>
        <v/>
      </c>
      <c r="G297" s="84"/>
      <c r="H297" s="85"/>
      <c r="I297" s="86" t="str">
        <f t="shared" si="14"/>
        <v/>
      </c>
    </row>
    <row r="298" spans="1:9">
      <c r="A298" s="84"/>
      <c r="B298" s="85"/>
      <c r="C298" s="86" t="str">
        <f t="shared" si="12"/>
        <v/>
      </c>
      <c r="D298" s="84"/>
      <c r="E298" s="85"/>
      <c r="F298" s="86" t="str">
        <f t="shared" si="13"/>
        <v/>
      </c>
      <c r="G298" s="84"/>
      <c r="H298" s="85"/>
      <c r="I298" s="86" t="str">
        <f t="shared" si="14"/>
        <v/>
      </c>
    </row>
    <row r="299" spans="1:9">
      <c r="A299" s="84"/>
      <c r="B299" s="85"/>
      <c r="C299" s="86" t="str">
        <f t="shared" si="12"/>
        <v/>
      </c>
      <c r="D299" s="84"/>
      <c r="E299" s="85"/>
      <c r="F299" s="86" t="str">
        <f t="shared" si="13"/>
        <v/>
      </c>
      <c r="G299" s="84"/>
      <c r="H299" s="85"/>
      <c r="I299" s="86" t="str">
        <f t="shared" si="14"/>
        <v/>
      </c>
    </row>
    <row r="300" spans="1:9">
      <c r="A300" s="84"/>
      <c r="B300" s="85"/>
      <c r="C300" s="86" t="str">
        <f t="shared" si="12"/>
        <v/>
      </c>
      <c r="D300" s="84"/>
      <c r="E300" s="85"/>
      <c r="F300" s="86" t="str">
        <f t="shared" si="13"/>
        <v/>
      </c>
      <c r="G300" s="84"/>
      <c r="H300" s="85"/>
      <c r="I300" s="86" t="str">
        <f t="shared" si="14"/>
        <v/>
      </c>
    </row>
    <row r="301" spans="1:9">
      <c r="A301" s="84"/>
      <c r="B301" s="85"/>
      <c r="C301" s="86" t="str">
        <f t="shared" si="12"/>
        <v/>
      </c>
      <c r="D301" s="84"/>
      <c r="E301" s="85"/>
      <c r="F301" s="86" t="str">
        <f t="shared" si="13"/>
        <v/>
      </c>
      <c r="G301" s="84"/>
      <c r="H301" s="85"/>
      <c r="I301" s="86" t="str">
        <f t="shared" si="14"/>
        <v/>
      </c>
    </row>
    <row r="302" spans="1:9">
      <c r="A302" s="84"/>
      <c r="B302" s="88"/>
      <c r="C302" s="86" t="str">
        <f t="shared" si="12"/>
        <v/>
      </c>
      <c r="D302" s="84"/>
      <c r="E302" s="88"/>
      <c r="F302" s="86" t="str">
        <f t="shared" si="13"/>
        <v/>
      </c>
      <c r="G302" s="84"/>
      <c r="H302" s="88"/>
      <c r="I302" s="86" t="str">
        <f t="shared" si="14"/>
        <v/>
      </c>
    </row>
    <row r="303" spans="1:9">
      <c r="A303" s="84"/>
      <c r="B303" s="88"/>
      <c r="C303" s="86" t="str">
        <f t="shared" si="12"/>
        <v/>
      </c>
      <c r="D303" s="84"/>
      <c r="E303" s="88"/>
      <c r="F303" s="86" t="str">
        <f t="shared" si="13"/>
        <v/>
      </c>
      <c r="G303" s="84"/>
      <c r="H303" s="88"/>
      <c r="I303" s="86" t="str">
        <f t="shared" si="14"/>
        <v/>
      </c>
    </row>
    <row r="304" spans="1:9">
      <c r="A304" s="84"/>
      <c r="B304" s="88"/>
      <c r="C304" s="86" t="str">
        <f t="shared" si="12"/>
        <v/>
      </c>
      <c r="D304" s="84"/>
      <c r="E304" s="88"/>
      <c r="F304" s="86" t="str">
        <f t="shared" si="13"/>
        <v/>
      </c>
      <c r="G304" s="84"/>
      <c r="H304" s="88"/>
      <c r="I304" s="86" t="str">
        <f t="shared" si="14"/>
        <v/>
      </c>
    </row>
    <row r="305" spans="1:7">
      <c r="A305" s="86" t="s">
        <v>1123</v>
      </c>
      <c r="D305" s="86" t="s">
        <v>1123</v>
      </c>
      <c r="G305" s="86" t="s">
        <v>1123</v>
      </c>
    </row>
  </sheetData>
  <mergeCells count="4">
    <mergeCell ref="A2:H2"/>
    <mergeCell ref="A3:B3"/>
    <mergeCell ref="D3:E3"/>
    <mergeCell ref="G3:H3"/>
  </mergeCells>
  <phoneticPr fontId="2" type="noConversion"/>
  <pageMargins left="0.75" right="0.75" top="1" bottom="1" header="0.5" footer="0.5"/>
  <pageSetup paperSize="9" orientation="portrait" r:id="rId1"/>
  <headerFooter alignWithMargins="0"/>
</worksheet>
</file>

<file path=customUI/customUI.xml><?xml version="1.0" encoding="utf-8"?>
<customUI xmlns="http://schemas.microsoft.com/office/2006/01/customui" onLoad="loadCustomTabOfRibbon">
  <!-- Add Custom group to the Home tab in the ribbon-->
  <!-- The example add three buttons to the group and a menu button with 5 options-->
  <ribbon>
    <tabs>
      <tab id="XLGanttTab" label="XLGantt - Project Scheduler " insertAfterMso="View">
        <!--tab idMso="TabHome" -->
        <group id="scheduling" label="Scheduling">
          <button id="cbtnCalcWBSbyArray" getLabel="xlgantt_ribbon_getlabel" size="large" onAction="calcWBSbyArrayFromRibbon" imageMso="TableDrawTable"/>
          <separator id="MySeparator1"/>
          <button id="cbtnFilterSchedule" getLabel="xlgantt_ribbon_getlabel" size="normal" onAction="filterScheduleFromRibbon" imageMso="FilterByResource"/>
          <button id="cbtnCallIndentWBS2LeftFromRibbon" getLabel="xlgantt_ribbon_getlabel" size="normal" onAction="callIndentWBS2LeftFromRibbon" imageMso="OutlinePromote"/>
          <button id="cbtnCallIndentWBS2RightFromRibbon" getLabel="xlgantt_ribbon_getlabel" size="normal" onAction="callIndentWBS2RightFromRibbon" imageMso="OutlineDemote"/>
        </group>
        <group id="analysis" getLabel="xlgantt_ribbon_getlabel">
          <button id="cbtnCallMakeReportProgressByResource" getLabel="xlgantt_ribbon_getlabel" size="large" onAction="callMakeReportProgressByResource" imageMso="MailMergeSelectRecipients"/>
          <separator id="MySeparator2"/>
          <button id="cbtnCallMakeReportWorkloadWeeklyFromRibbon" getLabel="xlgantt_ribbon_getlabel" size="normal" onAction="callMakeReportWorkloadWeeklyFromRibbon" imageMso="W"/>
          <button id="cbtnCallMakeReportWorkloadMonthlyFromRibbon" getLabel="xlgantt_ribbon_getlabel" size="normal" onAction="callMakeReportWorkloadMonthlyFromRibbon" imageMso="M"/>
          <button id="cbtnCallMakeReportWorkloadByResourceFromRibbon" getLabel="xlgantt_ribbon_getlabel" size="normal" onAction="callMakeReportWorkloadByResourceFromRibbon" imageMso="R"/>
          <button id="cbtnCallMakeReportProgressFromRibbon" getLabel="xlgantt_ribbon_getlabel" size="normal" onAction="callMakeReportProgressFromRibbon" imageMso="P"/>
        </group>
        <group id="settings" getLabel="xlgantt_ribbon_getlabel">
          <button id="cbtnCallSettingBasicInfoFromRibbon" getLabel="xlgantt_ribbon_getlabel" size="large" onAction="callSettingBasicInfoFromRibbon" imageMso="PageMenu"/>
          <!--button id="cbtnCallSettingCalendarFromRibbon" getLabel="xlgantt_ribbon_getlabel" size="large" onAction="callSettingCalendarFromRibbon" imageMso="ViewAllProposals"/-->
          <button id="cbtnCallReformatSchduleSheetFromRibbon" getLabel="xlgantt_ribbon_getlabel" size="large" onAction="callReformatSchduleSheetFromRibbon" imageMso="DesignMode"/>
        </group>
        <group id="etc" getLabel="xlgantt_ribbon_getlabel">
          <button id="cbtnCallImportWBSFromRibbon" getLabel="xlgantt_ribbon_getlabel" size="large" onAction="callImportWBSFromRibbon" imageMso="CacheListData"/>
          <button id="cbtnCallCheckProgramVersionFromRibbon" getLabel="xlgantt_ribbon_getlabel" size="large" onAction="callCheckProgramVersionFromRibbon" imageMso="AcceptInvitation"/>
          <button id="cbtnCallViewAboutFromRibbon" getLabel="xlgantt_ribbon_getlabel" size="large" onAction="callViewAboutFromRibbon" imageMso="HighImportance"/>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5</vt:i4>
      </vt:variant>
      <vt:variant>
        <vt:lpstr>이름 지정된 범위</vt:lpstr>
      </vt:variant>
      <vt:variant>
        <vt:i4>33</vt:i4>
      </vt:variant>
    </vt:vector>
  </HeadingPairs>
  <TitlesOfParts>
    <vt:vector size="38" baseType="lpstr">
      <vt:lpstr>TranslatedLanguages</vt:lpstr>
      <vt:lpstr>Schedule</vt:lpstr>
      <vt:lpstr>Progress</vt:lpstr>
      <vt:lpstr>AnalysisReport</vt:lpstr>
      <vt:lpstr>Calendar</vt:lpstr>
      <vt:lpstr>ACTUAL_RATE</vt:lpstr>
      <vt:lpstr>ACTUAL_WORKLOAD</vt:lpstr>
      <vt:lpstr>ACTUAL_WORKLOAD2</vt:lpstr>
      <vt:lpstr>English_Name</vt:lpstr>
      <vt:lpstr>PLANNED_RATE</vt:lpstr>
      <vt:lpstr>PLANNED_WORKLOAD</vt:lpstr>
      <vt:lpstr>RATE_GAP</vt:lpstr>
      <vt:lpstr>RNG_ACTUAL_END_DATE_COL_NAME</vt:lpstr>
      <vt:lpstr>RNG_ACTUAL_RATE_COL_NAME</vt:lpstr>
      <vt:lpstr>RNG_ACTUAL_START_DATE_COL_NAME</vt:lpstr>
      <vt:lpstr>RNG_ACTUAL_TOTAL_DURATION_COL_NAME</vt:lpstr>
      <vt:lpstr>RNG_ACTUAL_TOTAL_WORKLOAD_COL_NAME</vt:lpstr>
      <vt:lpstr>RNG_CALENDAR_COL_NAME</vt:lpstr>
      <vt:lpstr>RNG_DELIVERABLES_COL_NAME</vt:lpstr>
      <vt:lpstr>RNG_END_DATE_COL_NAME</vt:lpstr>
      <vt:lpstr>RNG_ETC_COL_NAME</vt:lpstr>
      <vt:lpstr>RNG_GANTT_AREA_FIRST_COL_NAME</vt:lpstr>
      <vt:lpstr>RNG_PLAN_DURATION_COL_NAME</vt:lpstr>
      <vt:lpstr>RNG_PLAN_RATE_COL_NAME</vt:lpstr>
      <vt:lpstr>RNG_PLAN_WORKLOAD_COL_NAME</vt:lpstr>
      <vt:lpstr>RNG_RESOURCE_COL_NAME</vt:lpstr>
      <vt:lpstr>RNG_RESOURCE_WEIGHT_COL_NAME</vt:lpstr>
      <vt:lpstr>RNG_START_DATE_COL_NAME</vt:lpstr>
      <vt:lpstr>RNG_TASK_FIRST_COL_NAME</vt:lpstr>
      <vt:lpstr>RNG_TOTAL_DURATION_COL_NAME</vt:lpstr>
      <vt:lpstr>RNG_TOTAL_WORKLOAD_COL_NAME</vt:lpstr>
      <vt:lpstr>RNG_WBS_AREA_LAST_COL_NAME</vt:lpstr>
      <vt:lpstr>RNG_WBS_COL_NAME</vt:lpstr>
      <vt:lpstr>RNG_WBS_LEVEL_COL_NAME</vt:lpstr>
      <vt:lpstr>STD_CAL</vt:lpstr>
      <vt:lpstr>TOTAL_WORKLOAD</vt:lpstr>
      <vt:lpstr>UD_CAL1</vt:lpstr>
      <vt:lpstr>UD_CAL2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사용자</dc:creator>
  <cp:lastModifiedBy>이원용</cp:lastModifiedBy>
  <dcterms:created xsi:type="dcterms:W3CDTF">2018-02-18T09:45:14Z</dcterms:created>
  <dcterms:modified xsi:type="dcterms:W3CDTF">2021-09-25T04:33:29Z</dcterms:modified>
</cp:coreProperties>
</file>