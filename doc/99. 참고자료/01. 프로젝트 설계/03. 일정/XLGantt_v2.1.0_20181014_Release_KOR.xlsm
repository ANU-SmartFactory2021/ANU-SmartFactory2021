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hjung\Desktop\엑셀작업\@엑셀일정관리\@XLGantt\XLGantt.배포본\2018.10.14.배포본_3차_아마도2007에서안되는현상수정\KOR\"/>
    </mc:Choice>
  </mc:AlternateContent>
  <bookViews>
    <workbookView xWindow="0" yWindow="0" windowWidth="19200" windowHeight="7125"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 i="2" l="1"/>
  <c r="AY5" i="2"/>
  <c r="AF6" i="2"/>
  <c r="AC7" i="2"/>
  <c r="AF8" i="2"/>
  <c r="AD9" i="2"/>
  <c r="AF10" i="2"/>
  <c r="AF11" i="2"/>
  <c r="AT11" i="2"/>
  <c r="AF12" i="2"/>
  <c r="AK13" i="2"/>
  <c r="AP14" i="2"/>
  <c r="AT14" i="2"/>
  <c r="AF15" i="2"/>
  <c r="AU17" i="2"/>
  <c r="AY17" i="2"/>
  <c r="AU18" i="2"/>
  <c r="AV19" i="2"/>
  <c r="AY19" i="2"/>
  <c r="AX20" i="2"/>
  <c r="AX21" i="2"/>
  <c r="AE22" i="2"/>
  <c r="AU22" i="2"/>
  <c r="AE23" i="2"/>
  <c r="AE24" i="2"/>
  <c r="AE25" i="2"/>
  <c r="AE26" i="2"/>
  <c r="AE27" i="2"/>
  <c r="AG28" i="2"/>
  <c r="AL28" i="2"/>
  <c r="AG29" i="2"/>
  <c r="AG30" i="2"/>
  <c r="AK30" i="2"/>
  <c r="AG31" i="2"/>
  <c r="AH32" i="2"/>
  <c r="AH33" i="2"/>
  <c r="AK34" i="2"/>
  <c r="AK35" i="2"/>
  <c r="AU35" i="2"/>
  <c r="AK36" i="2"/>
  <c r="AT36" i="2"/>
  <c r="AK37" i="2"/>
  <c r="AK38" i="2"/>
  <c r="AT38" i="2"/>
  <c r="AK39" i="2"/>
  <c r="AK40" i="2"/>
  <c r="AL41" i="2"/>
  <c r="AL42" i="2"/>
  <c r="AK43" i="2"/>
  <c r="AT43" i="2"/>
  <c r="AK44" i="2"/>
  <c r="AT44" i="2"/>
  <c r="AM45" i="2"/>
  <c r="AT45" i="2"/>
  <c r="AQ46" i="2"/>
  <c r="AU46" i="2"/>
  <c r="AQ47" i="2"/>
  <c r="AT48" i="2"/>
  <c r="AT49" i="2"/>
  <c r="AT50" i="2"/>
  <c r="AT51" i="2"/>
  <c r="AU52" i="2"/>
  <c r="AU53" i="2"/>
  <c r="AU54" i="2"/>
  <c r="AU55" i="2"/>
  <c r="AU56"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1" i="2"/>
  <c r="AB2" i="2"/>
  <c r="D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<sst xmlns="http://schemas.openxmlformats.org/spreadsheetml/2006/main" count="1625" uniqueCount="1190">
  <si>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</si>
  <si>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</si>
  <si>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</si>
  <si>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</si>
  <si>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</si>
  <si>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</si>
  <si>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</si>
  <si>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</si>
  <si>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</si>
  <si>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</si>
  <si>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</si>
  <si>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</si>
  <si>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</si>
  <si>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</si>
  <si>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</si>
  <si>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</si>
  <si>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</si>
  <si>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</si>
  <si>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</si>
  <si>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</si>
  <si>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</si>
  <si>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</si>
  <si>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</si>
  <si>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</si>
  <si>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</si>
  <si>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</si>
  <si>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</si>
  <si>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</si>
  <si>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</si>
  <si>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</si>
  <si>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</si>
  <si>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</si>
  <si>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</si>
  <si>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</si>
  <si>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</si>
  <si>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</si>
  <si>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</si>
  <si>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</si>
  <si>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</si>
  <si>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</si>
  <si>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</si>
  <si>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</si>
  <si>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</si>
  <si>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</si>
  <si>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</si>
  <si>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</si>
  <si>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</si>
  <si>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</si>
  <si>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</si>
  <si>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</si>
  <si>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</si>
  <si>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</si>
  <si>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</si>
  <si>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</si>
  <si>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</si>
  <si>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</si>
  <si>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</si>
  <si>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</si>
  <si>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</si>
  <si>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</si>
  <si>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</si>
  <si>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</si>
  <si>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</si>
  <si>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</si>
  <si>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</si>
  <si>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</si>
  <si>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</si>
  <si>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</si>
  <si>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</si>
  <si>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</si>
  <si>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</si>
  <si>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</si>
  <si>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</si>
  <si>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</si>
  <si>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</si>
  <si>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</si>
  <si>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</si>
  <si>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</si>
  <si>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</si>
  <si>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</si>
  <si>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</si>
  <si>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</si>
  <si>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</si>
  <si>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</si>
  <si>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</si>
  <si>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</si>
  <si>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</si>
  <si>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</si>
  <si>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</si>
  <si>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</si>
  <si>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</si>
  <si>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</si>
  <si>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</si>
  <si>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</si>
  <si>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</si>
  <si>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</si>
  <si>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</si>
  <si>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</si>
  <si>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</si>
  <si>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</si>
  <si>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</si>
  <si>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</si>
  <si>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</si>
  <si>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</si>
  <si>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</si>
  <si>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</si>
  <si>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</si>
  <si>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</si>
  <si>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</si>
  <si>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</si>
  <si>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</si>
  <si>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</si>
  <si>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</si>
  <si>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</si>
  <si>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</si>
  <si>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</si>
  <si>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</si>
  <si>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</si>
  <si>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</si>
  <si>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</si>
  <si>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</si>
  <si>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</si>
  <si>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</si>
  <si>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</si>
  <si>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</si>
  <si>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</si>
  <si>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</si>
  <si>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</si>
  <si>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</si>
  <si>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</si>
  <si>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</si>
  <si>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</si>
  <si>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</si>
  <si>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</si>
  <si>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</si>
  <si>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</si>
  <si>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</si>
  <si>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</si>
  <si>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</si>
  <si>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</si>
  <si>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</si>
  <si>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</si>
  <si>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</si>
  <si>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</si>
  <si>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</si>
  <si>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</si>
  <si>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</si>
  <si>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</si>
  <si>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</si>
  <si>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</si>
  <si>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</si>
  <si>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</si>
  <si>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</si>
  <si>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</si>
  <si>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</si>
  <si>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</si>
  <si>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</si>
  <si>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</si>
  <si>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</si>
  <si>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</si>
  <si>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</si>
  <si>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</si>
  <si>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</si>
  <si>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</si>
  <si>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</si>
  <si>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</si>
  <si>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</si>
  <si>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</si>
  <si>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</si>
  <si>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</si>
  <si>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</si>
  <si>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</si>
  <si>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</si>
  <si>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</si>
  <si>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</si>
  <si>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</si>
  <si>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</si>
  <si>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</si>
  <si>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</si>
  <si>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</si>
  <si>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</si>
  <si>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</si>
  <si>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</si>
  <si>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</si>
  <si>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</si>
  <si>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</si>
  <si>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</si>
  <si>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</si>
  <si>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</si>
  <si>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</si>
  <si>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</si>
  <si>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</si>
  <si>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</si>
  <si>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</si>
  <si>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</si>
  <si>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</si>
  <si>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</si>
  <si>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</si>
  <si>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</si>
  <si>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</si>
  <si>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</si>
  <si>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</si>
  <si>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</si>
  <si>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</si>
  <si>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</si>
  <si>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</si>
  <si>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</si>
  <si>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</si>
  <si>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</si>
  <si>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</si>
  <si>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</si>
  <si>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</si>
  <si>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</si>
  <si>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</si>
  <si>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</si>
  <si>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</si>
  <si>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</si>
  <si>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</si>
  <si>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</si>
  <si>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</si>
  <si>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</si>
  <si>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</si>
  <si>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</si>
  <si>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</si>
  <si>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</si>
  <si>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</si>
  <si>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</si>
  <si>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</si>
  <si>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</si>
  <si>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</si>
  <si>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</si>
  <si>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</si>
  <si>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</si>
  <si>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</si>
  <si>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</si>
  <si>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</si>
  <si>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</si>
  <si>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</si>
  <si>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</si>
  <si>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</si>
  <si>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</si>
  <si>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</si>
  <si>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</si>
  <si>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</si>
  <si>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</si>
  <si>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</si>
  <si>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</si>
  <si>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</si>
  <si>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</si>
  <si>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</si>
  <si>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</si>
  <si>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</si>
  <si>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</si>
  <si>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</si>
  <si>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</si>
  <si>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</si>
  <si>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</si>
  <si>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</si>
  <si>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</si>
  <si>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</si>
  <si>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</si>
  <si>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</si>
  <si>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</si>
  <si>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</si>
  <si>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</si>
  <si>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</si>
  <si>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</si>
  <si>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</si>
  <si>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</si>
  <si>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</si>
  <si>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</si>
  <si>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</si>
  <si>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</si>
  <si>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</si>
  <si>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</si>
  <si>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</si>
  <si>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</si>
  <si>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</si>
  <si>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</si>
  <si>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</si>
  <si>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</si>
  <si>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</si>
  <si>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</si>
  <si>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</si>
  <si>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</si>
  <si>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</si>
  <si>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</si>
  <si>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</si>
  <si>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</si>
  <si>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</si>
  <si>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</si>
  <si>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</si>
  <si>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</si>
  <si>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</si>
  <si>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</si>
  <si>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</si>
  <si>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</si>
  <si>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</si>
  <si>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</si>
  <si>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</si>
  <si>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</si>
  <si>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</si>
  <si>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</si>
  <si>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</si>
  <si>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</si>
  <si>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</si>
  <si>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</si>
  <si>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</si>
  <si>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</si>
  <si>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</si>
  <si>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</si>
  <si>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</si>
  <si>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</si>
  <si>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</si>
  <si>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</si>
  <si>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</si>
  <si>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</si>
  <si>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</si>
  <si>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</si>
  <si>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</si>
  <si>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</si>
  <si>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</si>
  <si>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</si>
  <si>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</si>
  <si>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</si>
  <si>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</si>
  <si>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</si>
  <si>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</si>
  <si>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</si>
  <si>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</si>
  <si>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</si>
  <si>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</si>
  <si>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</si>
  <si>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</si>
  <si>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</si>
  <si>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</si>
  <si>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</si>
  <si>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</si>
  <si>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</si>
  <si>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</si>
  <si>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</si>
  <si>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</si>
  <si>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</si>
  <si>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</si>
  <si>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</si>
  <si>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</si>
  <si>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</si>
  <si>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</si>
  <si>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</si>
  <si>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</si>
  <si>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</si>
  <si>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</si>
  <si>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</si>
  <si>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</si>
  <si>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</si>
  <si>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</si>
  <si>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</si>
  <si>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</si>
  <si>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</si>
  <si>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</si>
  <si>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</si>
  <si>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</si>
  <si>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</si>
  <si>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</si>
  <si>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</si>
  <si>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</si>
  <si>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</si>
  <si>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</si>
  <si>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</si>
  <si>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</si>
  <si>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</si>
  <si>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</si>
  <si>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</si>
  <si>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</si>
  <si>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</si>
  <si>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</si>
  <si>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</si>
  <si>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</si>
  <si>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</si>
  <si>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</si>
  <si>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</si>
  <si>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</si>
  <si>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</si>
  <si>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</si>
  <si>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</si>
  <si>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</si>
  <si>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</si>
  <si>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</si>
  <si>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</si>
  <si>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</si>
  <si>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</si>
  <si>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</si>
  <si>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</si>
  <si>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</si>
  <si>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</si>
  <si>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</si>
  <si>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</si>
  <si>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</si>
  <si>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</si>
  <si>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</si>
  <si>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</si>
  <si>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</si>
  <si>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</si>
  <si>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</si>
  <si>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</si>
  <si>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</si>
  <si>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</si>
  <si>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</si>
  <si>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</si>
  <si>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</si>
  <si>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</si>
  <si>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</si>
  <si>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</si>
  <si>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</si>
  <si>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</si>
  <si>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</si>
  <si>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</si>
  <si>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</si>
  <si>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</si>
  <si>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</si>
  <si>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</si>
  <si>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</si>
  <si>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</si>
  <si>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</si>
  <si>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</si>
  <si>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</si>
  <si>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</si>
  <si>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</si>
  <si>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</si>
  <si>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</si>
  <si>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</si>
  <si>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</si>
  <si>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</si>
  <si>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</si>
  <si>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</si>
  <si>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</si>
  <si>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</si>
  <si>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</si>
  <si>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</si>
  <si>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</si>
  <si>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</si>
  <si>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</si>
  <si>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</si>
  <si>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</si>
  <si>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</si>
  <si>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</si>
  <si>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</si>
  <si>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</si>
  <si>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</si>
  <si>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</si>
  <si>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</si>
  <si>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</si>
  <si>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</si>
  <si>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</si>
  <si>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</si>
  <si>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</si>
  <si>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</si>
  <si>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</si>
  <si>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</si>
  <si>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</si>
  <si>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</si>
  <si>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</si>
  <si>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</si>
  <si>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</si>
  <si>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</si>
  <si>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</si>
  <si>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</si>
  <si>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</si>
  <si>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</si>
  <si>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</si>
  <si>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</si>
  <si>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</si>
  <si>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</si>
  <si>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</si>
  <si>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</si>
  <si>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</si>
  <si>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</si>
  <si>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</si>
  <si>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</si>
  <si>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</si>
  <si>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</si>
  <si>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</si>
  <si>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</si>
  <si>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</si>
  <si>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</si>
  <si>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</si>
  <si>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</si>
  <si>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</si>
  <si>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</si>
  <si>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</si>
  <si>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</si>
  <si>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</si>
  <si>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</si>
  <si>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</si>
  <si>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</si>
  <si>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</si>
  <si>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</si>
  <si>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</si>
  <si>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</si>
  <si>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</si>
  <si>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</si>
  <si>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</si>
  <si>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</si>
  <si>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</si>
  <si>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</si>
  <si>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</si>
  <si>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</si>
  <si>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</si>
  <si>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</si>
  <si>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</si>
  <si>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</si>
  <si>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</si>
  <si>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</si>
  <si>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</si>
  <si>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</si>
  <si>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</si>
  <si>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</si>
  <si>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</si>
  <si>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</si>
  <si>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</si>
  <si>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</si>
  <si>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</si>
  <si>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</si>
  <si>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</si>
  <si>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</si>
  <si>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</si>
  <si>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</si>
  <si>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</si>
  <si>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</si>
  <si>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</si>
  <si>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</si>
  <si>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</si>
  <si>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</si>
  <si>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</si>
  <si>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</si>
  <si>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</si>
  <si>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</si>
  <si>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</si>
  <si>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</si>
  <si>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</si>
  <si>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</si>
  <si>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</si>
  <si>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</si>
  <si>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</si>
  <si>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</si>
  <si>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</si>
  <si>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</si>
  <si>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</si>
  <si>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</si>
  <si>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</si>
  <si>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</si>
  <si>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</si>
  <si>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</si>
  <si>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</si>
  <si>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</si>
  <si>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</si>
  <si>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</si>
  <si>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</si>
  <si>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</si>
  <si>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</si>
  <si>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</si>
  <si>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</si>
  <si>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</si>
  <si>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</si>
  <si>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</si>
  <si>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</si>
  <si>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</si>
  <si>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</si>
  <si>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</si>
  <si>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</si>
  <si>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</si>
  <si>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</si>
  <si>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</si>
  <si>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</si>
  <si>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</si>
  <si>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</si>
  <si>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</si>
  <si>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</si>
  <si>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</si>
  <si>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</si>
  <si>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</si>
  <si>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</si>
  <si>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</si>
  <si>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</si>
  <si>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</si>
  <si>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</si>
  <si>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</si>
  <si>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</si>
  <si>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</si>
  <si>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</si>
  <si>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</si>
  <si>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</si>
  <si>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</si>
  <si>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</si>
  <si>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</si>
  <si>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</si>
  <si>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</si>
  <si>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</si>
  <si>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</si>
  <si>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</si>
  <si>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</si>
  <si>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</si>
  <si>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</si>
  <si>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</si>
  <si>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</si>
  <si>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</si>
  <si>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</si>
  <si>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</si>
  <si>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</si>
  <si>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</si>
  <si>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</si>
  <si>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</si>
  <si>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</si>
  <si>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</si>
  <si>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</si>
  <si>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</si>
  <si>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</si>
  <si>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</si>
  <si>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</si>
  <si>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</si>
  <si>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</si>
  <si>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</si>
  <si>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</si>
  <si>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</si>
  <si>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</si>
  <si>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</si>
  <si>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</si>
  <si>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</si>
  <si>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</si>
  <si>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</si>
  <si>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</si>
  <si>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</si>
  <si>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</si>
  <si>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</si>
  <si>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</si>
  <si>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</si>
  <si>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</si>
  <si>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</si>
  <si>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</si>
  <si>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</si>
  <si>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</si>
  <si>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</si>
  <si>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</si>
  <si>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</si>
  <si>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</si>
  <si>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</si>
  <si>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</si>
  <si>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</si>
  <si>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</si>
  <si>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</si>
  <si>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</si>
  <si>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</si>
  <si>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</si>
  <si>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</si>
  <si>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</si>
  <si>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</si>
  <si>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</si>
  <si>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</si>
  <si>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</si>
  <si>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</si>
  <si>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</si>
  <si>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</si>
  <si>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</si>
  <si>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</si>
  <si>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</si>
  <si>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</si>
  <si>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</si>
  <si>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</si>
  <si>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</si>
  <si>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</si>
  <si>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</si>
  <si>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</si>
  <si>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</si>
  <si>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</si>
  <si>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</si>
  <si>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</si>
  <si>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</si>
  <si>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</si>
  <si>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</si>
  <si>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</si>
  <si>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</si>
  <si>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</si>
  <si>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</si>
  <si>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</si>
  <si>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</si>
  <si>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</si>
  <si>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</si>
  <si>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</si>
  <si>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</si>
  <si>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</si>
  <si>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</si>
  <si>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</si>
  <si>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</si>
  <si>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</si>
  <si>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</si>
  <si>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</si>
  <si>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</si>
  <si>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</si>
  <si>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</si>
  <si>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</si>
  <si>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</si>
  <si>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</si>
  <si>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</si>
  <si>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</si>
  <si>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</si>
  <si>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</si>
  <si>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</si>
  <si>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</si>
  <si>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</si>
  <si>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</si>
  <si>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</si>
  <si>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</si>
  <si>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</si>
  <si>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</si>
  <si>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</si>
  <si>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</si>
  <si>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</si>
  <si>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</si>
  <si>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</si>
  <si>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</si>
  <si>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</si>
  <si>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</si>
  <si>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</si>
  <si>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</si>
  <si>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</si>
  <si>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</si>
  <si>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</si>
  <si>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</si>
  <si>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</si>
  <si>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</si>
  <si>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</si>
  <si>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</si>
  <si>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</si>
  <si>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</si>
  <si>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</si>
  <si>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</si>
  <si>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</si>
  <si>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</si>
  <si>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</si>
  <si>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</si>
  <si>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</si>
  <si>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</si>
  <si>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</si>
  <si>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</si>
  <si>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</si>
  <si>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</si>
  <si>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</si>
  <si>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</si>
  <si>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</si>
  <si>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</si>
  <si>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</si>
  <si>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</si>
  <si>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</si>
  <si>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</si>
  <si>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</si>
  <si>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</si>
  <si>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</si>
  <si>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</si>
  <si>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</si>
  <si>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</si>
  <si>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</si>
  <si>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</si>
  <si>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</si>
  <si>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</si>
  <si>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</si>
  <si>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</si>
  <si>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</si>
  <si>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</si>
  <si>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</si>
  <si>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</si>
  <si>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</si>
  <si>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</si>
  <si>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</si>
  <si>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</si>
  <si>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</si>
  <si>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</si>
  <si>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</si>
  <si>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</si>
  <si>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</si>
  <si>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</si>
  <si>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</si>
  <si>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</si>
  <si>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</si>
  <si>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</si>
  <si>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</si>
  <si>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</si>
  <si>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</si>
  <si>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</si>
  <si>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</si>
  <si>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</si>
  <si>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</si>
  <si>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</si>
  <si>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</si>
  <si>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</si>
  <si>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</si>
  <si>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</si>
  <si>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</si>
  <si>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</si>
  <si>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</si>
  <si>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</si>
  <si>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</si>
  <si>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</si>
  <si>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</si>
  <si>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</si>
  <si>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</si>
  <si>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</si>
  <si>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</si>
  <si>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</si>
  <si>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</si>
  <si>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</si>
  <si>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</si>
  <si>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</si>
  <si>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</si>
  <si>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</si>
  <si>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</si>
  <si>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</si>
  <si>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</si>
  <si>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</si>
  <si>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</si>
  <si>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</si>
  <si>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</si>
  <si>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</si>
  <si>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</si>
  <si>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</si>
  <si>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</si>
  <si>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</si>
  <si>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</si>
  <si>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</si>
  <si>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</si>
  <si>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</si>
  <si>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</si>
  <si>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</si>
  <si>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</si>
  <si>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</si>
  <si>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</si>
  <si>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</si>
  <si>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</si>
  <si>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</si>
  <si>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</si>
  <si>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</si>
  <si>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</si>
  <si>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</si>
  <si>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</si>
  <si>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</si>
  <si>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</si>
  <si>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</si>
  <si>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</si>
  <si>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</si>
  <si>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</si>
  <si>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</si>
  <si>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</si>
  <si>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</si>
  <si>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</si>
  <si>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</si>
  <si>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</si>
  <si>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</si>
  <si>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</si>
  <si>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</si>
  <si>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</si>
  <si>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</si>
  <si>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</si>
  <si>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</si>
  <si>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</si>
  <si>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</si>
  <si>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</si>
  <si>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</si>
  <si>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</si>
  <si>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</si>
  <si>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</si>
  <si>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</si>
  <si>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</si>
  <si>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</si>
  <si>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</si>
  <si>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</si>
  <si>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</si>
  <si>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</si>
  <si>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</si>
  <si>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</si>
  <si>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</si>
  <si>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</si>
  <si>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</si>
  <si>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</si>
  <si>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</si>
  <si>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</si>
  <si>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</si>
  <si>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</si>
  <si>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</si>
  <si>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</si>
  <si>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</si>
  <si>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</si>
  <si>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</si>
  <si>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</si>
  <si>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</si>
  <si>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</si>
  <si>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</si>
  <si>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</si>
  <si>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</si>
  <si>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</si>
  <si>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</si>
  <si>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</si>
  <si>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</si>
  <si>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</si>
  <si>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</si>
  <si>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</si>
  <si>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</si>
  <si>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</si>
  <si>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</si>
  <si>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</si>
  <si>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</si>
  <si>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</si>
  <si>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</si>
  <si>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</si>
  <si>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</si>
  <si>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</si>
  <si>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</si>
  <si>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</si>
  <si>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</si>
  <si>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</si>
  <si>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</si>
  <si>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</si>
  <si>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</si>
  <si>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</si>
  <si>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</si>
  <si>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</si>
  <si>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</si>
  <si>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</si>
  <si>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</si>
  <si>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</si>
  <si>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</si>
  <si>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</si>
  <si>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</si>
  <si>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</si>
  <si>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</si>
  <si>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</si>
  <si>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</si>
  <si>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</si>
  <si>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</si>
  <si>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</si>
  <si>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</si>
  <si>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</si>
  <si>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</si>
  <si>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</si>
  <si>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</si>
  <si>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</si>
  <si>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</si>
  <si>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</si>
  <si>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</si>
  <si>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</si>
  <si>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</si>
  <si>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</si>
  <si>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</si>
  <si>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</si>
  <si>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</si>
  <si>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</si>
  <si>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</si>
  <si>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</si>
  <si>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</si>
  <si>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</si>
  <si>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</si>
  <si>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</si>
  <si>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</si>
  <si>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</si>
  <si>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</si>
  <si>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</si>
  <si>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</si>
  <si>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</si>
  <si>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</si>
  <si>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</si>
  <si>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</si>
  <si>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</si>
  <si>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</si>
  <si>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</si>
  <si>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</si>
  <si>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</si>
  <si>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</si>
  <si>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</si>
  <si>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</si>
  <si>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</si>
  <si>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</si>
  <si>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</si>
  <si>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</si>
  <si>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</si>
  <si>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</si>
  <si>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</si>
  <si>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</si>
  <si>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</si>
  <si>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</si>
  <si>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</si>
  <si>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</si>
  <si>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</si>
  <si>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</si>
  <si>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</si>
  <si>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</si>
  <si>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수행 및 통제</t>
  </si>
  <si>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</si>
  <si>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</si>
  <si>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</si>
  <si>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</si>
  <si>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</si>
  <si>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</si>
  <si>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</si>
  <si>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</si>
  <si>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홍길동,김길동,이길동</t>
  </si>
  <si>
    <t>중간보고</t>
  </si>
  <si>
    <t>시스템 개발</t>
  </si>
  <si>
    <t>분석</t>
  </si>
  <si>
    <t>논리모델구축</t>
  </si>
  <si>
    <t>설계</t>
  </si>
  <si>
    <t>UI 설계</t>
  </si>
  <si>
    <t>시스템 설계</t>
  </si>
  <si>
    <t>2.2.2.1</t>
  </si>
  <si>
    <t>Architecture설계</t>
  </si>
  <si>
    <t>2.2.2.2</t>
  </si>
  <si>
    <t>데이터베이스설계</t>
  </si>
  <si>
    <t>2.2.2.3</t>
  </si>
  <si>
    <t>프로그램설계</t>
  </si>
  <si>
    <t>테스트 설계</t>
  </si>
  <si>
    <t>개발</t>
  </si>
  <si>
    <t>프로그램 개발</t>
  </si>
  <si>
    <t>2.3.1.1</t>
  </si>
  <si>
    <t>단위테스트시나리오작성</t>
  </si>
  <si>
    <t>프로그램코딩 및 단위테스트</t>
  </si>
  <si>
    <t>모듈A</t>
  </si>
  <si>
    <t>2.3.1.2.1.1</t>
  </si>
  <si>
    <t>프로그램A</t>
  </si>
  <si>
    <t>2.3.1.2.1.2</t>
  </si>
  <si>
    <t>프로그램B</t>
  </si>
  <si>
    <t>2.3.1.2.1.3</t>
  </si>
  <si>
    <t>프로그램C</t>
  </si>
  <si>
    <t>2.3.1.2.2</t>
  </si>
  <si>
    <t>모듈B</t>
  </si>
  <si>
    <t>2.3.1.2.3</t>
  </si>
  <si>
    <t>모듈C</t>
  </si>
  <si>
    <t>2.3.1.2.4</t>
  </si>
  <si>
    <t>모듈D</t>
  </si>
  <si>
    <t>테스트실시</t>
  </si>
  <si>
    <t>2.3.2.1</t>
  </si>
  <si>
    <t>통합테스트실시</t>
  </si>
  <si>
    <t>2.3.2.2</t>
  </si>
  <si>
    <t>시스템테스트실시</t>
  </si>
  <si>
    <t>구현</t>
  </si>
  <si>
    <t>구현준비</t>
  </si>
  <si>
    <t>2.4.1.1</t>
  </si>
  <si>
    <t>Release 및 Contingency plan수립</t>
  </si>
  <si>
    <t>Conversion 및 Release</t>
  </si>
  <si>
    <t>2.4.2.1</t>
  </si>
  <si>
    <t>데이터베이스구축</t>
  </si>
  <si>
    <t>2.4.2.2</t>
  </si>
  <si>
    <t>소프트웨어설치</t>
  </si>
  <si>
    <t>2.4.2.3</t>
  </si>
  <si>
    <t>인수테스트실시</t>
  </si>
  <si>
    <t>2.4.2.4</t>
  </si>
  <si>
    <t>시스템오픈</t>
  </si>
  <si>
    <t>프로젝트수행계획서.pptx</t>
  </si>
  <si>
    <t>박길동,정길동,최길동</t>
  </si>
  <si>
    <t>정길동</t>
  </si>
  <si>
    <t>논리데이터모델링.pptx</t>
  </si>
  <si>
    <t>유아인</t>
  </si>
  <si>
    <t>김아키</t>
  </si>
  <si>
    <t>김디비</t>
  </si>
  <si>
    <t>김프로</t>
  </si>
  <si>
    <t>프로그램명세서</t>
  </si>
  <si>
    <t>이개발</t>
  </si>
  <si>
    <t>박개발</t>
  </si>
  <si>
    <t>이개발,박개발</t>
  </si>
  <si>
    <t>김프로,김디비</t>
  </si>
  <si>
    <t>김프로,이개발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</si>
  <si>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</si>
  <si>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</si>
  <si>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</si>
  <si>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</si>
  <si>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</si>
  <si>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</si>
  <si>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</si>
  <si>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</si>
  <si>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</si>
  <si>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</si>
  <si>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</si>
  <si>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</si>
  <si>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</si>
  <si>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</si>
  <si>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</si>
  <si>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</si>
  <si>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</si>
  <si>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</si>
  <si>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</si>
  <si>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</si>
  <si>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</si>
  <si>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</si>
  <si>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</si>
  <si>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</si>
  <si>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</si>
  <si>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</si>
  <si>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2</t>
  </si>
  <si>
    <t>2.1</t>
  </si>
  <si>
    <t>2.1.2</t>
  </si>
  <si>
    <t>2.2</t>
  </si>
  <si>
    <t>2.2.2</t>
  </si>
  <si>
    <t>2.3</t>
  </si>
  <si>
    <t>2.3.1</t>
  </si>
  <si>
    <t>2.3.1.2</t>
  </si>
  <si>
    <t>2.3.1.2.1</t>
  </si>
  <si>
    <t>2.3.2</t>
  </si>
  <si>
    <t>2.4</t>
  </si>
  <si>
    <t>2.4.1</t>
  </si>
  <si>
    <t>2.4.2</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</si>
  <si>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</si>
  <si>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</si>
  <si>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</si>
  <si>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</si>
  <si>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</si>
  <si>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</si>
  <si>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</si>
  <si>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</si>
  <si>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</si>
  <si>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</si>
  <si>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</si>
  <si>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</si>
  <si>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</si>
  <si>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</si>
  <si>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</si>
  <si>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</si>
  <si>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</si>
  <si>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</si>
  <si>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</si>
  <si>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</si>
  <si>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</si>
  <si>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담당</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</si>
  <si>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</si>
  <si>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</si>
  <si>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</si>
  <si>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</si>
  <si>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</si>
  <si>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</si>
  <si>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</si>
  <si>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</si>
  <si>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</si>
  <si>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</si>
  <si>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</si>
  <si>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</si>
  <si>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</si>
  <si>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</si>
  <si>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</si>
  <si>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</si>
  <si>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</si>
  <si>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</si>
  <si>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</si>
  <si>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</si>
  <si>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</si>
  <si>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</si>
  <si>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</si>
  <si>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OOO 프로젝트</t>
    <phoneticPr fontId="2"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</si>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</sst>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4">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6">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56</xdr:row>
      <xdr:rowOff>0</xdr:rowOff>
    </xdr:to>
    <xdr:cxnSp macro="">
      <xdr:nvCxnSpPr>
        <xdr:cNvPr id="22394" name="직선 화살표 연결선 22393"/>
        <xdr:cNvCxnSpPr/>
      </xdr:nvCxnSpPr>
      <xdr:spPr>
        <a:xfrm>
          <a:off x="20745450" y="741680"/>
          <a:ext cx="0" cy="7926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3</xdr:row>
      <xdr:rowOff>55880</xdr:rowOff>
    </xdr:from>
    <xdr:to>
      <xdr:col>30</xdr:col>
      <xdr:colOff>20410</xdr:colOff>
      <xdr:row>56</xdr:row>
      <xdr:rowOff>0</xdr:rowOff>
    </xdr:to>
    <xdr:cxnSp macro="">
      <xdr:nvCxnSpPr>
        <xdr:cNvPr id="22395" name="직선 화살표 연결선 22394"/>
        <xdr:cNvCxnSpPr/>
      </xdr:nvCxnSpPr>
      <xdr:spPr>
        <a:xfrm>
          <a:off x="8859610" y="741680"/>
          <a:ext cx="0" cy="7926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102053</xdr:colOff>
      <xdr:row>55</xdr:row>
      <xdr:rowOff>19050</xdr:rowOff>
    </xdr:from>
    <xdr:to>
      <xdr:col>46</xdr:col>
      <xdr:colOff>122465</xdr:colOff>
      <xdr:row>55</xdr:row>
      <xdr:rowOff>133350</xdr:rowOff>
    </xdr:to>
    <xdr:sp macro="" textlink="">
      <xdr:nvSpPr>
        <xdr:cNvPr id="22396" name="직사각형 22395"/>
        <xdr:cNvSpPr/>
      </xdr:nvSpPr>
      <xdr:spPr>
        <a:xfrm>
          <a:off x="11227253" y="85344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102053</xdr:colOff>
      <xdr:row>55</xdr:row>
      <xdr:rowOff>76200</xdr:rowOff>
    </xdr:from>
    <xdr:to>
      <xdr:col>46</xdr:col>
      <xdr:colOff>102053</xdr:colOff>
      <xdr:row>55</xdr:row>
      <xdr:rowOff>76200</xdr:rowOff>
    </xdr:to>
    <xdr:cxnSp macro="">
      <xdr:nvCxnSpPr>
        <xdr:cNvPr id="22397" name="직선 화살표 연결선 22396"/>
        <xdr:cNvCxnSpPr/>
      </xdr:nvCxnSpPr>
      <xdr:spPr>
        <a:xfrm>
          <a:off x="11227253" y="859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54</xdr:row>
      <xdr:rowOff>19050</xdr:rowOff>
    </xdr:from>
    <xdr:to>
      <xdr:col>46</xdr:col>
      <xdr:colOff>102053</xdr:colOff>
      <xdr:row>54</xdr:row>
      <xdr:rowOff>133350</xdr:rowOff>
    </xdr:to>
    <xdr:sp macro="" textlink="">
      <xdr:nvSpPr>
        <xdr:cNvPr id="22398" name="직사각형 22397"/>
        <xdr:cNvSpPr/>
      </xdr:nvSpPr>
      <xdr:spPr>
        <a:xfrm>
          <a:off x="11166022" y="83820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54</xdr:row>
      <xdr:rowOff>76200</xdr:rowOff>
    </xdr:from>
    <xdr:to>
      <xdr:col>46</xdr:col>
      <xdr:colOff>40822</xdr:colOff>
      <xdr:row>54</xdr:row>
      <xdr:rowOff>76200</xdr:rowOff>
    </xdr:to>
    <xdr:cxnSp macro="">
      <xdr:nvCxnSpPr>
        <xdr:cNvPr id="22399" name="직선 화살표 연결선 22398"/>
        <xdr:cNvCxnSpPr/>
      </xdr:nvCxnSpPr>
      <xdr:spPr>
        <a:xfrm>
          <a:off x="11166022" y="843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53</xdr:row>
      <xdr:rowOff>19050</xdr:rowOff>
    </xdr:from>
    <xdr:to>
      <xdr:col>46</xdr:col>
      <xdr:colOff>102053</xdr:colOff>
      <xdr:row>53</xdr:row>
      <xdr:rowOff>133350</xdr:rowOff>
    </xdr:to>
    <xdr:sp macro="" textlink="">
      <xdr:nvSpPr>
        <xdr:cNvPr id="22400" name="직사각형 22399"/>
        <xdr:cNvSpPr/>
      </xdr:nvSpPr>
      <xdr:spPr>
        <a:xfrm>
          <a:off x="11166022" y="82296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53</xdr:row>
      <xdr:rowOff>76200</xdr:rowOff>
    </xdr:from>
    <xdr:to>
      <xdr:col>46</xdr:col>
      <xdr:colOff>40822</xdr:colOff>
      <xdr:row>53</xdr:row>
      <xdr:rowOff>76200</xdr:rowOff>
    </xdr:to>
    <xdr:cxnSp macro="">
      <xdr:nvCxnSpPr>
        <xdr:cNvPr id="22401" name="직선 화살표 연결선 22400"/>
        <xdr:cNvCxnSpPr/>
      </xdr:nvCxnSpPr>
      <xdr:spPr>
        <a:xfrm>
          <a:off x="11166022" y="828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52</xdr:row>
      <xdr:rowOff>19050</xdr:rowOff>
    </xdr:from>
    <xdr:to>
      <xdr:col>46</xdr:col>
      <xdr:colOff>102053</xdr:colOff>
      <xdr:row>52</xdr:row>
      <xdr:rowOff>133350</xdr:rowOff>
    </xdr:to>
    <xdr:sp macro="" textlink="">
      <xdr:nvSpPr>
        <xdr:cNvPr id="22402" name="직사각형 22401"/>
        <xdr:cNvSpPr/>
      </xdr:nvSpPr>
      <xdr:spPr>
        <a:xfrm>
          <a:off x="11166022" y="80772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52</xdr:row>
      <xdr:rowOff>76200</xdr:rowOff>
    </xdr:from>
    <xdr:to>
      <xdr:col>46</xdr:col>
      <xdr:colOff>40822</xdr:colOff>
      <xdr:row>52</xdr:row>
      <xdr:rowOff>76200</xdr:rowOff>
    </xdr:to>
    <xdr:cxnSp macro="">
      <xdr:nvCxnSpPr>
        <xdr:cNvPr id="22403" name="직선 화살표 연결선 22402"/>
        <xdr:cNvCxnSpPr/>
      </xdr:nvCxnSpPr>
      <xdr:spPr>
        <a:xfrm>
          <a:off x="11166022" y="813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51</xdr:row>
      <xdr:rowOff>19050</xdr:rowOff>
    </xdr:from>
    <xdr:to>
      <xdr:col>46</xdr:col>
      <xdr:colOff>122465</xdr:colOff>
      <xdr:row>51</xdr:row>
      <xdr:rowOff>133350</xdr:rowOff>
    </xdr:to>
    <xdr:sp macro="" textlink="">
      <xdr:nvSpPr>
        <xdr:cNvPr id="22404" name="직사각형 22403"/>
        <xdr:cNvSpPr/>
      </xdr:nvSpPr>
      <xdr:spPr>
        <a:xfrm>
          <a:off x="11166022" y="7924800"/>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51</xdr:row>
      <xdr:rowOff>76200</xdr:rowOff>
    </xdr:from>
    <xdr:to>
      <xdr:col>46</xdr:col>
      <xdr:colOff>40822</xdr:colOff>
      <xdr:row>51</xdr:row>
      <xdr:rowOff>76200</xdr:rowOff>
    </xdr:to>
    <xdr:cxnSp macro="">
      <xdr:nvCxnSpPr>
        <xdr:cNvPr id="22405" name="직선 화살표 연결선 22404"/>
        <xdr:cNvCxnSpPr/>
      </xdr:nvCxnSpPr>
      <xdr:spPr>
        <a:xfrm>
          <a:off x="11166022" y="7981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50</xdr:row>
      <xdr:rowOff>19050</xdr:rowOff>
    </xdr:from>
    <xdr:to>
      <xdr:col>46</xdr:col>
      <xdr:colOff>20410</xdr:colOff>
      <xdr:row>50</xdr:row>
      <xdr:rowOff>133350</xdr:rowOff>
    </xdr:to>
    <xdr:sp macro="" textlink="">
      <xdr:nvSpPr>
        <xdr:cNvPr id="22406" name="직사각형 22405"/>
        <xdr:cNvSpPr/>
      </xdr:nvSpPr>
      <xdr:spPr>
        <a:xfrm>
          <a:off x="11084378" y="77724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50</xdr:row>
      <xdr:rowOff>76200</xdr:rowOff>
    </xdr:from>
    <xdr:to>
      <xdr:col>45</xdr:col>
      <xdr:colOff>102053</xdr:colOff>
      <xdr:row>50</xdr:row>
      <xdr:rowOff>76200</xdr:rowOff>
    </xdr:to>
    <xdr:cxnSp macro="">
      <xdr:nvCxnSpPr>
        <xdr:cNvPr id="22407" name="직선 화살표 연결선 22406"/>
        <xdr:cNvCxnSpPr/>
      </xdr:nvCxnSpPr>
      <xdr:spPr>
        <a:xfrm>
          <a:off x="11084378" y="7829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49</xdr:row>
      <xdr:rowOff>19050</xdr:rowOff>
    </xdr:from>
    <xdr:to>
      <xdr:col>46</xdr:col>
      <xdr:colOff>20410</xdr:colOff>
      <xdr:row>49</xdr:row>
      <xdr:rowOff>133350</xdr:rowOff>
    </xdr:to>
    <xdr:sp macro="" textlink="">
      <xdr:nvSpPr>
        <xdr:cNvPr id="22408" name="직사각형 22407"/>
        <xdr:cNvSpPr/>
      </xdr:nvSpPr>
      <xdr:spPr>
        <a:xfrm>
          <a:off x="11084378" y="7620000"/>
          <a:ext cx="612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49</xdr:row>
      <xdr:rowOff>76200</xdr:rowOff>
    </xdr:from>
    <xdr:to>
      <xdr:col>45</xdr:col>
      <xdr:colOff>102053</xdr:colOff>
      <xdr:row>49</xdr:row>
      <xdr:rowOff>76200</xdr:rowOff>
    </xdr:to>
    <xdr:cxnSp macro="">
      <xdr:nvCxnSpPr>
        <xdr:cNvPr id="22409" name="직선 화살표 연결선 22408"/>
        <xdr:cNvCxnSpPr/>
      </xdr:nvCxnSpPr>
      <xdr:spPr>
        <a:xfrm>
          <a:off x="11084378"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48</xdr:row>
      <xdr:rowOff>19050</xdr:rowOff>
    </xdr:from>
    <xdr:to>
      <xdr:col>46</xdr:col>
      <xdr:colOff>122465</xdr:colOff>
      <xdr:row>48</xdr:row>
      <xdr:rowOff>133350</xdr:rowOff>
    </xdr:to>
    <xdr:sp macro="" textlink="">
      <xdr:nvSpPr>
        <xdr:cNvPr id="22410" name="직사각형 22409"/>
        <xdr:cNvSpPr/>
      </xdr:nvSpPr>
      <xdr:spPr>
        <a:xfrm>
          <a:off x="11084378" y="7467600"/>
          <a:ext cx="163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48</xdr:row>
      <xdr:rowOff>76200</xdr:rowOff>
    </xdr:from>
    <xdr:to>
      <xdr:col>45</xdr:col>
      <xdr:colOff>102053</xdr:colOff>
      <xdr:row>48</xdr:row>
      <xdr:rowOff>76200</xdr:rowOff>
    </xdr:to>
    <xdr:cxnSp macro="">
      <xdr:nvCxnSpPr>
        <xdr:cNvPr id="22411" name="직선 화살표 연결선 22410"/>
        <xdr:cNvCxnSpPr/>
      </xdr:nvCxnSpPr>
      <xdr:spPr>
        <a:xfrm>
          <a:off x="11084378" y="752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47</xdr:row>
      <xdr:rowOff>19050</xdr:rowOff>
    </xdr:from>
    <xdr:to>
      <xdr:col>46</xdr:col>
      <xdr:colOff>61232</xdr:colOff>
      <xdr:row>47</xdr:row>
      <xdr:rowOff>133350</xdr:rowOff>
    </xdr:to>
    <xdr:sp macro="" textlink="">
      <xdr:nvSpPr>
        <xdr:cNvPr id="22412" name="직사각형 22411"/>
        <xdr:cNvSpPr/>
      </xdr:nvSpPr>
      <xdr:spPr>
        <a:xfrm>
          <a:off x="11084378" y="73152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47</xdr:row>
      <xdr:rowOff>76200</xdr:rowOff>
    </xdr:from>
    <xdr:to>
      <xdr:col>45</xdr:col>
      <xdr:colOff>102053</xdr:colOff>
      <xdr:row>47</xdr:row>
      <xdr:rowOff>76200</xdr:rowOff>
    </xdr:to>
    <xdr:cxnSp macro="">
      <xdr:nvCxnSpPr>
        <xdr:cNvPr id="22413" name="직선 화살표 연결선 22412"/>
        <xdr:cNvCxnSpPr/>
      </xdr:nvCxnSpPr>
      <xdr:spPr>
        <a:xfrm>
          <a:off x="11084378" y="737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46</xdr:row>
      <xdr:rowOff>19050</xdr:rowOff>
    </xdr:from>
    <xdr:to>
      <xdr:col>45</xdr:col>
      <xdr:colOff>61232</xdr:colOff>
      <xdr:row>46</xdr:row>
      <xdr:rowOff>133350</xdr:rowOff>
    </xdr:to>
    <xdr:sp macro="" textlink="">
      <xdr:nvSpPr>
        <xdr:cNvPr id="22414" name="직사각형 22413"/>
        <xdr:cNvSpPr/>
      </xdr:nvSpPr>
      <xdr:spPr>
        <a:xfrm>
          <a:off x="10655753" y="7162800"/>
          <a:ext cx="387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102053</xdr:colOff>
      <xdr:row>46</xdr:row>
      <xdr:rowOff>76200</xdr:rowOff>
    </xdr:from>
    <xdr:to>
      <xdr:col>42</xdr:col>
      <xdr:colOff>102053</xdr:colOff>
      <xdr:row>46</xdr:row>
      <xdr:rowOff>76200</xdr:rowOff>
    </xdr:to>
    <xdr:cxnSp macro="">
      <xdr:nvCxnSpPr>
        <xdr:cNvPr id="22415" name="직선 화살표 연결선 22414"/>
        <xdr:cNvCxnSpPr/>
      </xdr:nvCxnSpPr>
      <xdr:spPr>
        <a:xfrm>
          <a:off x="10655753"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45</xdr:row>
      <xdr:rowOff>19050</xdr:rowOff>
    </xdr:from>
    <xdr:to>
      <xdr:col>46</xdr:col>
      <xdr:colOff>61232</xdr:colOff>
      <xdr:row>45</xdr:row>
      <xdr:rowOff>133350</xdr:rowOff>
    </xdr:to>
    <xdr:sp macro="" textlink="">
      <xdr:nvSpPr>
        <xdr:cNvPr id="22416" name="직사각형 22415"/>
        <xdr:cNvSpPr/>
      </xdr:nvSpPr>
      <xdr:spPr>
        <a:xfrm>
          <a:off x="10655753" y="7010400"/>
          <a:ext cx="5306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102053</xdr:colOff>
      <xdr:row>45</xdr:row>
      <xdr:rowOff>76200</xdr:rowOff>
    </xdr:from>
    <xdr:to>
      <xdr:col>42</xdr:col>
      <xdr:colOff>102053</xdr:colOff>
      <xdr:row>45</xdr:row>
      <xdr:rowOff>76200</xdr:rowOff>
    </xdr:to>
    <xdr:cxnSp macro="">
      <xdr:nvCxnSpPr>
        <xdr:cNvPr id="22417" name="직선 화살표 연결선 22416"/>
        <xdr:cNvCxnSpPr/>
      </xdr:nvCxnSpPr>
      <xdr:spPr>
        <a:xfrm>
          <a:off x="10655753" y="706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44</xdr:row>
      <xdr:rowOff>19050</xdr:rowOff>
    </xdr:from>
    <xdr:to>
      <xdr:col>45</xdr:col>
      <xdr:colOff>40822</xdr:colOff>
      <xdr:row>44</xdr:row>
      <xdr:rowOff>133350</xdr:rowOff>
    </xdr:to>
    <xdr:sp macro="" textlink="">
      <xdr:nvSpPr>
        <xdr:cNvPr id="22418" name="직사각형 22417"/>
        <xdr:cNvSpPr/>
      </xdr:nvSpPr>
      <xdr:spPr>
        <a:xfrm>
          <a:off x="10084253" y="6858000"/>
          <a:ext cx="9388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44</xdr:row>
      <xdr:rowOff>76200</xdr:rowOff>
    </xdr:from>
    <xdr:to>
      <xdr:col>38</xdr:col>
      <xdr:colOff>102053</xdr:colOff>
      <xdr:row>44</xdr:row>
      <xdr:rowOff>76200</xdr:rowOff>
    </xdr:to>
    <xdr:cxnSp macro="">
      <xdr:nvCxnSpPr>
        <xdr:cNvPr id="22419" name="직선 화살표 연결선 22418"/>
        <xdr:cNvCxnSpPr/>
      </xdr:nvCxnSpPr>
      <xdr:spPr>
        <a:xfrm>
          <a:off x="10084253" y="691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43</xdr:row>
      <xdr:rowOff>19050</xdr:rowOff>
    </xdr:from>
    <xdr:to>
      <xdr:col>45</xdr:col>
      <xdr:colOff>40822</xdr:colOff>
      <xdr:row>43</xdr:row>
      <xdr:rowOff>133350</xdr:rowOff>
    </xdr:to>
    <xdr:sp macro="" textlink="">
      <xdr:nvSpPr>
        <xdr:cNvPr id="22420" name="직사각형 22419"/>
        <xdr:cNvSpPr/>
      </xdr:nvSpPr>
      <xdr:spPr>
        <a:xfrm>
          <a:off x="9798503" y="6705600"/>
          <a:ext cx="1224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43</xdr:row>
      <xdr:rowOff>76200</xdr:rowOff>
    </xdr:from>
    <xdr:to>
      <xdr:col>36</xdr:col>
      <xdr:colOff>102053</xdr:colOff>
      <xdr:row>43</xdr:row>
      <xdr:rowOff>76200</xdr:rowOff>
    </xdr:to>
    <xdr:cxnSp macro="">
      <xdr:nvCxnSpPr>
        <xdr:cNvPr id="22421" name="직선 화살표 연결선 22420"/>
        <xdr:cNvCxnSpPr/>
      </xdr:nvCxnSpPr>
      <xdr:spPr>
        <a:xfrm>
          <a:off x="9798503" y="676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42</xdr:row>
      <xdr:rowOff>19050</xdr:rowOff>
    </xdr:from>
    <xdr:to>
      <xdr:col>45</xdr:col>
      <xdr:colOff>40822</xdr:colOff>
      <xdr:row>42</xdr:row>
      <xdr:rowOff>133350</xdr:rowOff>
    </xdr:to>
    <xdr:sp macro="" textlink="">
      <xdr:nvSpPr>
        <xdr:cNvPr id="22422" name="직사각형 22421"/>
        <xdr:cNvSpPr/>
      </xdr:nvSpPr>
      <xdr:spPr>
        <a:xfrm>
          <a:off x="9798503" y="6553200"/>
          <a:ext cx="1224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42</xdr:row>
      <xdr:rowOff>76200</xdr:rowOff>
    </xdr:from>
    <xdr:to>
      <xdr:col>36</xdr:col>
      <xdr:colOff>102053</xdr:colOff>
      <xdr:row>42</xdr:row>
      <xdr:rowOff>76200</xdr:rowOff>
    </xdr:to>
    <xdr:cxnSp macro="">
      <xdr:nvCxnSpPr>
        <xdr:cNvPr id="22423" name="직선 화살표 연결선 22422"/>
        <xdr:cNvCxnSpPr/>
      </xdr:nvCxnSpPr>
      <xdr:spPr>
        <a:xfrm>
          <a:off x="9798503" y="661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41</xdr:row>
      <xdr:rowOff>19050</xdr:rowOff>
    </xdr:from>
    <xdr:to>
      <xdr:col>39</xdr:col>
      <xdr:colOff>61232</xdr:colOff>
      <xdr:row>41</xdr:row>
      <xdr:rowOff>133350</xdr:rowOff>
    </xdr:to>
    <xdr:sp macro="" textlink="">
      <xdr:nvSpPr>
        <xdr:cNvPr id="22424" name="직사각형 22423"/>
        <xdr:cNvSpPr/>
      </xdr:nvSpPr>
      <xdr:spPr>
        <a:xfrm>
          <a:off x="9941378" y="6400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41</xdr:row>
      <xdr:rowOff>76200</xdr:rowOff>
    </xdr:from>
    <xdr:to>
      <xdr:col>37</xdr:col>
      <xdr:colOff>102053</xdr:colOff>
      <xdr:row>41</xdr:row>
      <xdr:rowOff>76200</xdr:rowOff>
    </xdr:to>
    <xdr:cxnSp macro="">
      <xdr:nvCxnSpPr>
        <xdr:cNvPr id="22425" name="직선 화살표 연결선 22424"/>
        <xdr:cNvCxnSpPr/>
      </xdr:nvCxnSpPr>
      <xdr:spPr>
        <a:xfrm>
          <a:off x="9941378" y="645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40</xdr:row>
      <xdr:rowOff>19050</xdr:rowOff>
    </xdr:from>
    <xdr:to>
      <xdr:col>38</xdr:col>
      <xdr:colOff>61232</xdr:colOff>
      <xdr:row>40</xdr:row>
      <xdr:rowOff>133350</xdr:rowOff>
    </xdr:to>
    <xdr:sp macro="" textlink="">
      <xdr:nvSpPr>
        <xdr:cNvPr id="22426" name="직사각형 22425"/>
        <xdr:cNvSpPr/>
      </xdr:nvSpPr>
      <xdr:spPr>
        <a:xfrm>
          <a:off x="9941378" y="62484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40</xdr:row>
      <xdr:rowOff>76200</xdr:rowOff>
    </xdr:from>
    <xdr:to>
      <xdr:col>37</xdr:col>
      <xdr:colOff>102053</xdr:colOff>
      <xdr:row>40</xdr:row>
      <xdr:rowOff>76200</xdr:rowOff>
    </xdr:to>
    <xdr:cxnSp macro="">
      <xdr:nvCxnSpPr>
        <xdr:cNvPr id="22427" name="직선 화살표 연결선 22426"/>
        <xdr:cNvCxnSpPr/>
      </xdr:nvCxnSpPr>
      <xdr:spPr>
        <a:xfrm>
          <a:off x="9941378" y="630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39</xdr:row>
      <xdr:rowOff>19050</xdr:rowOff>
    </xdr:from>
    <xdr:to>
      <xdr:col>37</xdr:col>
      <xdr:colOff>61232</xdr:colOff>
      <xdr:row>39</xdr:row>
      <xdr:rowOff>133350</xdr:rowOff>
    </xdr:to>
    <xdr:sp macro="" textlink="">
      <xdr:nvSpPr>
        <xdr:cNvPr id="22428" name="직사각형 22427"/>
        <xdr:cNvSpPr/>
      </xdr:nvSpPr>
      <xdr:spPr>
        <a:xfrm>
          <a:off x="9798503" y="60960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39</xdr:row>
      <xdr:rowOff>76200</xdr:rowOff>
    </xdr:from>
    <xdr:to>
      <xdr:col>36</xdr:col>
      <xdr:colOff>102053</xdr:colOff>
      <xdr:row>39</xdr:row>
      <xdr:rowOff>76200</xdr:rowOff>
    </xdr:to>
    <xdr:cxnSp macro="">
      <xdr:nvCxnSpPr>
        <xdr:cNvPr id="22429" name="직선 화살표 연결선 22428"/>
        <xdr:cNvCxnSpPr/>
      </xdr:nvCxnSpPr>
      <xdr:spPr>
        <a:xfrm>
          <a:off x="9798503" y="615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38</xdr:row>
      <xdr:rowOff>19050</xdr:rowOff>
    </xdr:from>
    <xdr:to>
      <xdr:col>39</xdr:col>
      <xdr:colOff>61232</xdr:colOff>
      <xdr:row>38</xdr:row>
      <xdr:rowOff>133350</xdr:rowOff>
    </xdr:to>
    <xdr:sp macro="" textlink="">
      <xdr:nvSpPr>
        <xdr:cNvPr id="22430" name="직사각형 22429"/>
        <xdr:cNvSpPr/>
      </xdr:nvSpPr>
      <xdr:spPr>
        <a:xfrm>
          <a:off x="9798503" y="5943600"/>
          <a:ext cx="387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38</xdr:row>
      <xdr:rowOff>76200</xdr:rowOff>
    </xdr:from>
    <xdr:to>
      <xdr:col>36</xdr:col>
      <xdr:colOff>102053</xdr:colOff>
      <xdr:row>38</xdr:row>
      <xdr:rowOff>76200</xdr:rowOff>
    </xdr:to>
    <xdr:cxnSp macro="">
      <xdr:nvCxnSpPr>
        <xdr:cNvPr id="22431" name="직선 화살표 연결선 22430"/>
        <xdr:cNvCxnSpPr/>
      </xdr:nvCxnSpPr>
      <xdr:spPr>
        <a:xfrm>
          <a:off x="9798503" y="600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37</xdr:row>
      <xdr:rowOff>19050</xdr:rowOff>
    </xdr:from>
    <xdr:to>
      <xdr:col>45</xdr:col>
      <xdr:colOff>40822</xdr:colOff>
      <xdr:row>37</xdr:row>
      <xdr:rowOff>133350</xdr:rowOff>
    </xdr:to>
    <xdr:sp macro="" textlink="">
      <xdr:nvSpPr>
        <xdr:cNvPr id="22432" name="직사각형 22431"/>
        <xdr:cNvSpPr/>
      </xdr:nvSpPr>
      <xdr:spPr>
        <a:xfrm>
          <a:off x="9798503" y="5791200"/>
          <a:ext cx="1224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37</xdr:row>
      <xdr:rowOff>76200</xdr:rowOff>
    </xdr:from>
    <xdr:to>
      <xdr:col>36</xdr:col>
      <xdr:colOff>102053</xdr:colOff>
      <xdr:row>37</xdr:row>
      <xdr:rowOff>76200</xdr:rowOff>
    </xdr:to>
    <xdr:cxnSp macro="">
      <xdr:nvCxnSpPr>
        <xdr:cNvPr id="22433" name="직선 화살표 연결선 22432"/>
        <xdr:cNvCxnSpPr/>
      </xdr:nvCxnSpPr>
      <xdr:spPr>
        <a:xfrm>
          <a:off x="9798503" y="584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36</xdr:row>
      <xdr:rowOff>19050</xdr:rowOff>
    </xdr:from>
    <xdr:to>
      <xdr:col>37</xdr:col>
      <xdr:colOff>61232</xdr:colOff>
      <xdr:row>36</xdr:row>
      <xdr:rowOff>133350</xdr:rowOff>
    </xdr:to>
    <xdr:sp macro="" textlink="">
      <xdr:nvSpPr>
        <xdr:cNvPr id="22434" name="직사각형 22433"/>
        <xdr:cNvSpPr/>
      </xdr:nvSpPr>
      <xdr:spPr>
        <a:xfrm>
          <a:off x="9798503" y="56388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36</xdr:row>
      <xdr:rowOff>76200</xdr:rowOff>
    </xdr:from>
    <xdr:to>
      <xdr:col>36</xdr:col>
      <xdr:colOff>102053</xdr:colOff>
      <xdr:row>36</xdr:row>
      <xdr:rowOff>76200</xdr:rowOff>
    </xdr:to>
    <xdr:cxnSp macro="">
      <xdr:nvCxnSpPr>
        <xdr:cNvPr id="22435" name="직선 화살표 연결선 22434"/>
        <xdr:cNvCxnSpPr/>
      </xdr:nvCxnSpPr>
      <xdr:spPr>
        <a:xfrm>
          <a:off x="9798503" y="569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35</xdr:row>
      <xdr:rowOff>19050</xdr:rowOff>
    </xdr:from>
    <xdr:to>
      <xdr:col>45</xdr:col>
      <xdr:colOff>40822</xdr:colOff>
      <xdr:row>35</xdr:row>
      <xdr:rowOff>133350</xdr:rowOff>
    </xdr:to>
    <xdr:sp macro="" textlink="">
      <xdr:nvSpPr>
        <xdr:cNvPr id="22436" name="직사각형 22435"/>
        <xdr:cNvSpPr/>
      </xdr:nvSpPr>
      <xdr:spPr>
        <a:xfrm>
          <a:off x="9798503" y="5486400"/>
          <a:ext cx="1224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35</xdr:row>
      <xdr:rowOff>76200</xdr:rowOff>
    </xdr:from>
    <xdr:to>
      <xdr:col>36</xdr:col>
      <xdr:colOff>102053</xdr:colOff>
      <xdr:row>35</xdr:row>
      <xdr:rowOff>76200</xdr:rowOff>
    </xdr:to>
    <xdr:cxnSp macro="">
      <xdr:nvCxnSpPr>
        <xdr:cNvPr id="22437" name="직선 화살표 연결선 22436"/>
        <xdr:cNvCxnSpPr/>
      </xdr:nvCxnSpPr>
      <xdr:spPr>
        <a:xfrm>
          <a:off x="9798503" y="554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34</xdr:row>
      <xdr:rowOff>19050</xdr:rowOff>
    </xdr:from>
    <xdr:to>
      <xdr:col>46</xdr:col>
      <xdr:colOff>61232</xdr:colOff>
      <xdr:row>34</xdr:row>
      <xdr:rowOff>133350</xdr:rowOff>
    </xdr:to>
    <xdr:sp macro="" textlink="">
      <xdr:nvSpPr>
        <xdr:cNvPr id="22438" name="직사각형 22437"/>
        <xdr:cNvSpPr/>
      </xdr:nvSpPr>
      <xdr:spPr>
        <a:xfrm>
          <a:off x="9798503" y="5334000"/>
          <a:ext cx="13879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34</xdr:row>
      <xdr:rowOff>76200</xdr:rowOff>
    </xdr:from>
    <xdr:to>
      <xdr:col>36</xdr:col>
      <xdr:colOff>102053</xdr:colOff>
      <xdr:row>34</xdr:row>
      <xdr:rowOff>76200</xdr:rowOff>
    </xdr:to>
    <xdr:cxnSp macro="">
      <xdr:nvCxnSpPr>
        <xdr:cNvPr id="22439" name="직선 화살표 연결선 22438"/>
        <xdr:cNvCxnSpPr/>
      </xdr:nvCxnSpPr>
      <xdr:spPr>
        <a:xfrm>
          <a:off x="9798503" y="539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33</xdr:row>
      <xdr:rowOff>19050</xdr:rowOff>
    </xdr:from>
    <xdr:to>
      <xdr:col>37</xdr:col>
      <xdr:colOff>61232</xdr:colOff>
      <xdr:row>33</xdr:row>
      <xdr:rowOff>133350</xdr:rowOff>
    </xdr:to>
    <xdr:sp macro="" textlink="">
      <xdr:nvSpPr>
        <xdr:cNvPr id="22440" name="직사각형 22439"/>
        <xdr:cNvSpPr/>
      </xdr:nvSpPr>
      <xdr:spPr>
        <a:xfrm>
          <a:off x="9798503" y="51816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33</xdr:row>
      <xdr:rowOff>76200</xdr:rowOff>
    </xdr:from>
    <xdr:to>
      <xdr:col>36</xdr:col>
      <xdr:colOff>102053</xdr:colOff>
      <xdr:row>33</xdr:row>
      <xdr:rowOff>76200</xdr:rowOff>
    </xdr:to>
    <xdr:cxnSp macro="">
      <xdr:nvCxnSpPr>
        <xdr:cNvPr id="22441" name="직선 화살표 연결선 22440"/>
        <xdr:cNvCxnSpPr/>
      </xdr:nvCxnSpPr>
      <xdr:spPr>
        <a:xfrm>
          <a:off x="9798503" y="523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32</xdr:row>
      <xdr:rowOff>19050</xdr:rowOff>
    </xdr:from>
    <xdr:to>
      <xdr:col>36</xdr:col>
      <xdr:colOff>61232</xdr:colOff>
      <xdr:row>32</xdr:row>
      <xdr:rowOff>133350</xdr:rowOff>
    </xdr:to>
    <xdr:sp macro="" textlink="">
      <xdr:nvSpPr>
        <xdr:cNvPr id="22442" name="직사각형 22441"/>
        <xdr:cNvSpPr/>
      </xdr:nvSpPr>
      <xdr:spPr>
        <a:xfrm>
          <a:off x="9369878" y="5029200"/>
          <a:ext cx="387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32</xdr:row>
      <xdr:rowOff>76200</xdr:rowOff>
    </xdr:from>
    <xdr:to>
      <xdr:col>33</xdr:col>
      <xdr:colOff>102053</xdr:colOff>
      <xdr:row>32</xdr:row>
      <xdr:rowOff>76200</xdr:rowOff>
    </xdr:to>
    <xdr:cxnSp macro="">
      <xdr:nvCxnSpPr>
        <xdr:cNvPr id="22443" name="직선 화살표 연결선 22442"/>
        <xdr:cNvCxnSpPr/>
      </xdr:nvCxnSpPr>
      <xdr:spPr>
        <a:xfrm>
          <a:off x="9369878" y="508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31</xdr:row>
      <xdr:rowOff>19050</xdr:rowOff>
    </xdr:from>
    <xdr:to>
      <xdr:col>35</xdr:col>
      <xdr:colOff>61232</xdr:colOff>
      <xdr:row>31</xdr:row>
      <xdr:rowOff>133350</xdr:rowOff>
    </xdr:to>
    <xdr:sp macro="" textlink="">
      <xdr:nvSpPr>
        <xdr:cNvPr id="22444" name="직사각형 22443"/>
        <xdr:cNvSpPr/>
      </xdr:nvSpPr>
      <xdr:spPr>
        <a:xfrm>
          <a:off x="9369878" y="4876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31</xdr:row>
      <xdr:rowOff>76200</xdr:rowOff>
    </xdr:from>
    <xdr:to>
      <xdr:col>33</xdr:col>
      <xdr:colOff>102053</xdr:colOff>
      <xdr:row>31</xdr:row>
      <xdr:rowOff>76200</xdr:rowOff>
    </xdr:to>
    <xdr:cxnSp macro="">
      <xdr:nvCxnSpPr>
        <xdr:cNvPr id="22445" name="직선 화살표 연결선 22444"/>
        <xdr:cNvCxnSpPr/>
      </xdr:nvCxnSpPr>
      <xdr:spPr>
        <a:xfrm>
          <a:off x="9369878" y="493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30</xdr:row>
      <xdr:rowOff>19050</xdr:rowOff>
    </xdr:from>
    <xdr:to>
      <xdr:col>34</xdr:col>
      <xdr:colOff>61232</xdr:colOff>
      <xdr:row>30</xdr:row>
      <xdr:rowOff>133350</xdr:rowOff>
    </xdr:to>
    <xdr:sp macro="" textlink="">
      <xdr:nvSpPr>
        <xdr:cNvPr id="22446" name="직사각형 22445"/>
        <xdr:cNvSpPr/>
      </xdr:nvSpPr>
      <xdr:spPr>
        <a:xfrm>
          <a:off x="9227003" y="47244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30</xdr:row>
      <xdr:rowOff>76200</xdr:rowOff>
    </xdr:from>
    <xdr:to>
      <xdr:col>32</xdr:col>
      <xdr:colOff>102053</xdr:colOff>
      <xdr:row>30</xdr:row>
      <xdr:rowOff>76200</xdr:rowOff>
    </xdr:to>
    <xdr:cxnSp macro="">
      <xdr:nvCxnSpPr>
        <xdr:cNvPr id="22447" name="직선 화살표 연결선 22446"/>
        <xdr:cNvCxnSpPr/>
      </xdr:nvCxnSpPr>
      <xdr:spPr>
        <a:xfrm>
          <a:off x="9227003" y="478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29</xdr:row>
      <xdr:rowOff>19050</xdr:rowOff>
    </xdr:from>
    <xdr:to>
      <xdr:col>36</xdr:col>
      <xdr:colOff>61232</xdr:colOff>
      <xdr:row>29</xdr:row>
      <xdr:rowOff>133350</xdr:rowOff>
    </xdr:to>
    <xdr:sp macro="" textlink="">
      <xdr:nvSpPr>
        <xdr:cNvPr id="22448" name="직사각형 22447"/>
        <xdr:cNvSpPr/>
      </xdr:nvSpPr>
      <xdr:spPr>
        <a:xfrm>
          <a:off x="9227003" y="4572000"/>
          <a:ext cx="5306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29</xdr:row>
      <xdr:rowOff>76200</xdr:rowOff>
    </xdr:from>
    <xdr:to>
      <xdr:col>32</xdr:col>
      <xdr:colOff>102053</xdr:colOff>
      <xdr:row>29</xdr:row>
      <xdr:rowOff>76200</xdr:rowOff>
    </xdr:to>
    <xdr:cxnSp macro="">
      <xdr:nvCxnSpPr>
        <xdr:cNvPr id="22449" name="직선 화살표 연결선 22448"/>
        <xdr:cNvCxnSpPr/>
      </xdr:nvCxnSpPr>
      <xdr:spPr>
        <a:xfrm>
          <a:off x="9227003" y="462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28</xdr:row>
      <xdr:rowOff>19050</xdr:rowOff>
    </xdr:from>
    <xdr:to>
      <xdr:col>34</xdr:col>
      <xdr:colOff>61232</xdr:colOff>
      <xdr:row>28</xdr:row>
      <xdr:rowOff>133350</xdr:rowOff>
    </xdr:to>
    <xdr:sp macro="" textlink="">
      <xdr:nvSpPr>
        <xdr:cNvPr id="22450" name="직사각형 22449"/>
        <xdr:cNvSpPr/>
      </xdr:nvSpPr>
      <xdr:spPr>
        <a:xfrm>
          <a:off x="9084128" y="4419600"/>
          <a:ext cx="387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28</xdr:row>
      <xdr:rowOff>76200</xdr:rowOff>
    </xdr:from>
    <xdr:to>
      <xdr:col>32</xdr:col>
      <xdr:colOff>87154</xdr:colOff>
      <xdr:row>28</xdr:row>
      <xdr:rowOff>76200</xdr:rowOff>
    </xdr:to>
    <xdr:cxnSp macro="">
      <xdr:nvCxnSpPr>
        <xdr:cNvPr id="22451" name="직선 화살표 연결선 22450"/>
        <xdr:cNvCxnSpPr/>
      </xdr:nvCxnSpPr>
      <xdr:spPr>
        <a:xfrm>
          <a:off x="9084128" y="4476750"/>
          <a:ext cx="1279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27</xdr:row>
      <xdr:rowOff>19050</xdr:rowOff>
    </xdr:from>
    <xdr:to>
      <xdr:col>37</xdr:col>
      <xdr:colOff>61232</xdr:colOff>
      <xdr:row>27</xdr:row>
      <xdr:rowOff>133350</xdr:rowOff>
    </xdr:to>
    <xdr:sp macro="" textlink="">
      <xdr:nvSpPr>
        <xdr:cNvPr id="22452" name="직사각형 22451"/>
        <xdr:cNvSpPr/>
      </xdr:nvSpPr>
      <xdr:spPr>
        <a:xfrm>
          <a:off x="9084128" y="4267200"/>
          <a:ext cx="8164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27</xdr:row>
      <xdr:rowOff>76200</xdr:rowOff>
    </xdr:from>
    <xdr:to>
      <xdr:col>32</xdr:col>
      <xdr:colOff>37012</xdr:colOff>
      <xdr:row>27</xdr:row>
      <xdr:rowOff>76200</xdr:rowOff>
    </xdr:to>
    <xdr:cxnSp macro="">
      <xdr:nvCxnSpPr>
        <xdr:cNvPr id="22453" name="직선 화살표 연결선 22452"/>
        <xdr:cNvCxnSpPr/>
      </xdr:nvCxnSpPr>
      <xdr:spPr>
        <a:xfrm>
          <a:off x="9084128" y="4324350"/>
          <a:ext cx="77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26</xdr:row>
      <xdr:rowOff>19050</xdr:rowOff>
    </xdr:from>
    <xdr:to>
      <xdr:col>31</xdr:col>
      <xdr:colOff>61232</xdr:colOff>
      <xdr:row>26</xdr:row>
      <xdr:rowOff>133350</xdr:rowOff>
    </xdr:to>
    <xdr:sp macro="" textlink="">
      <xdr:nvSpPr>
        <xdr:cNvPr id="22454" name="직사각형 22453"/>
        <xdr:cNvSpPr/>
      </xdr:nvSpPr>
      <xdr:spPr>
        <a:xfrm>
          <a:off x="8798378" y="4114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26</xdr:row>
      <xdr:rowOff>76200</xdr:rowOff>
    </xdr:from>
    <xdr:to>
      <xdr:col>30</xdr:col>
      <xdr:colOff>81643</xdr:colOff>
      <xdr:row>26</xdr:row>
      <xdr:rowOff>76200</xdr:rowOff>
    </xdr:to>
    <xdr:cxnSp macro="">
      <xdr:nvCxnSpPr>
        <xdr:cNvPr id="22455" name="직선 화살표 연결선 22454"/>
        <xdr:cNvCxnSpPr/>
      </xdr:nvCxnSpPr>
      <xdr:spPr>
        <a:xfrm>
          <a:off x="8798378" y="41719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25</xdr:row>
      <xdr:rowOff>19050</xdr:rowOff>
    </xdr:from>
    <xdr:to>
      <xdr:col>31</xdr:col>
      <xdr:colOff>61232</xdr:colOff>
      <xdr:row>25</xdr:row>
      <xdr:rowOff>133350</xdr:rowOff>
    </xdr:to>
    <xdr:sp macro="" textlink="">
      <xdr:nvSpPr>
        <xdr:cNvPr id="22456" name="직사각형 22455"/>
        <xdr:cNvSpPr/>
      </xdr:nvSpPr>
      <xdr:spPr>
        <a:xfrm>
          <a:off x="8798378" y="39624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25</xdr:row>
      <xdr:rowOff>76200</xdr:rowOff>
    </xdr:from>
    <xdr:to>
      <xdr:col>30</xdr:col>
      <xdr:colOff>57150</xdr:colOff>
      <xdr:row>25</xdr:row>
      <xdr:rowOff>76200</xdr:rowOff>
    </xdr:to>
    <xdr:cxnSp macro="">
      <xdr:nvCxnSpPr>
        <xdr:cNvPr id="22457" name="직선 화살표 연결선 22456"/>
        <xdr:cNvCxnSpPr/>
      </xdr:nvCxnSpPr>
      <xdr:spPr>
        <a:xfrm>
          <a:off x="8798378" y="4019550"/>
          <a:ext cx="979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24</xdr:row>
      <xdr:rowOff>19050</xdr:rowOff>
    </xdr:from>
    <xdr:to>
      <xdr:col>31</xdr:col>
      <xdr:colOff>61232</xdr:colOff>
      <xdr:row>24</xdr:row>
      <xdr:rowOff>133350</xdr:rowOff>
    </xdr:to>
    <xdr:sp macro="" textlink="">
      <xdr:nvSpPr>
        <xdr:cNvPr id="22458" name="직사각형 22457"/>
        <xdr:cNvSpPr/>
      </xdr:nvSpPr>
      <xdr:spPr>
        <a:xfrm>
          <a:off x="8798378" y="3810000"/>
          <a:ext cx="2449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24</xdr:row>
      <xdr:rowOff>76200</xdr:rowOff>
    </xdr:from>
    <xdr:to>
      <xdr:col>30</xdr:col>
      <xdr:colOff>69397</xdr:colOff>
      <xdr:row>24</xdr:row>
      <xdr:rowOff>76200</xdr:rowOff>
    </xdr:to>
    <xdr:cxnSp macro="">
      <xdr:nvCxnSpPr>
        <xdr:cNvPr id="22459" name="직선 화살표 연결선 22458"/>
        <xdr:cNvCxnSpPr/>
      </xdr:nvCxnSpPr>
      <xdr:spPr>
        <a:xfrm>
          <a:off x="8798378" y="3867150"/>
          <a:ext cx="1102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23</xdr:row>
      <xdr:rowOff>19050</xdr:rowOff>
    </xdr:from>
    <xdr:to>
      <xdr:col>31</xdr:col>
      <xdr:colOff>81643</xdr:colOff>
      <xdr:row>23</xdr:row>
      <xdr:rowOff>133350</xdr:rowOff>
    </xdr:to>
    <xdr:sp macro="" textlink="">
      <xdr:nvSpPr>
        <xdr:cNvPr id="22460" name="직사각형 22459"/>
        <xdr:cNvSpPr/>
      </xdr:nvSpPr>
      <xdr:spPr>
        <a:xfrm>
          <a:off x="8675915" y="3657600"/>
          <a:ext cx="387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23</xdr:row>
      <xdr:rowOff>76200</xdr:rowOff>
    </xdr:from>
    <xdr:to>
      <xdr:col>30</xdr:col>
      <xdr:colOff>11226</xdr:colOff>
      <xdr:row>23</xdr:row>
      <xdr:rowOff>76200</xdr:rowOff>
    </xdr:to>
    <xdr:cxnSp macro="">
      <xdr:nvCxnSpPr>
        <xdr:cNvPr id="22461" name="직선 화살표 연결선 22460"/>
        <xdr:cNvCxnSpPr/>
      </xdr:nvCxnSpPr>
      <xdr:spPr>
        <a:xfrm>
          <a:off x="8675915" y="3714750"/>
          <a:ext cx="1745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22</xdr:row>
      <xdr:rowOff>19050</xdr:rowOff>
    </xdr:from>
    <xdr:to>
      <xdr:col>31</xdr:col>
      <xdr:colOff>81643</xdr:colOff>
      <xdr:row>22</xdr:row>
      <xdr:rowOff>133350</xdr:rowOff>
    </xdr:to>
    <xdr:sp macro="" textlink="">
      <xdr:nvSpPr>
        <xdr:cNvPr id="22462" name="직사각형 22461"/>
        <xdr:cNvSpPr/>
      </xdr:nvSpPr>
      <xdr:spPr>
        <a:xfrm>
          <a:off x="8675915" y="3505200"/>
          <a:ext cx="387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22</xdr:row>
      <xdr:rowOff>76200</xdr:rowOff>
    </xdr:from>
    <xdr:to>
      <xdr:col>30</xdr:col>
      <xdr:colOff>11226</xdr:colOff>
      <xdr:row>22</xdr:row>
      <xdr:rowOff>76200</xdr:rowOff>
    </xdr:to>
    <xdr:cxnSp macro="">
      <xdr:nvCxnSpPr>
        <xdr:cNvPr id="22463" name="직선 화살표 연결선 22462"/>
        <xdr:cNvCxnSpPr/>
      </xdr:nvCxnSpPr>
      <xdr:spPr>
        <a:xfrm>
          <a:off x="8675915" y="3562350"/>
          <a:ext cx="1745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21</xdr:row>
      <xdr:rowOff>19050</xdr:rowOff>
    </xdr:from>
    <xdr:to>
      <xdr:col>46</xdr:col>
      <xdr:colOff>122465</xdr:colOff>
      <xdr:row>21</xdr:row>
      <xdr:rowOff>133350</xdr:rowOff>
    </xdr:to>
    <xdr:sp macro="" textlink="">
      <xdr:nvSpPr>
        <xdr:cNvPr id="22464" name="직사각형 22463"/>
        <xdr:cNvSpPr/>
      </xdr:nvSpPr>
      <xdr:spPr>
        <a:xfrm>
          <a:off x="8675915" y="3352800"/>
          <a:ext cx="25717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21</xdr:row>
      <xdr:rowOff>76200</xdr:rowOff>
    </xdr:from>
    <xdr:to>
      <xdr:col>30</xdr:col>
      <xdr:colOff>35057</xdr:colOff>
      <xdr:row>21</xdr:row>
      <xdr:rowOff>76200</xdr:rowOff>
    </xdr:to>
    <xdr:cxnSp macro="">
      <xdr:nvCxnSpPr>
        <xdr:cNvPr id="22465" name="직선 화살표 연결선 22464"/>
        <xdr:cNvCxnSpPr/>
      </xdr:nvCxnSpPr>
      <xdr:spPr>
        <a:xfrm>
          <a:off x="8675915" y="3409950"/>
          <a:ext cx="1983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122465</xdr:colOff>
      <xdr:row>20</xdr:row>
      <xdr:rowOff>19050</xdr:rowOff>
    </xdr:from>
    <xdr:to>
      <xdr:col>50</xdr:col>
      <xdr:colOff>0</xdr:colOff>
      <xdr:row>20</xdr:row>
      <xdr:rowOff>133350</xdr:rowOff>
    </xdr:to>
    <xdr:sp macro="" textlink="">
      <xdr:nvSpPr>
        <xdr:cNvPr id="22466" name="직사각형 22465"/>
        <xdr:cNvSpPr/>
      </xdr:nvSpPr>
      <xdr:spPr>
        <a:xfrm>
          <a:off x="11676290" y="3200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122465</xdr:colOff>
      <xdr:row>20</xdr:row>
      <xdr:rowOff>76200</xdr:rowOff>
    </xdr:from>
    <xdr:to>
      <xdr:col>49</xdr:col>
      <xdr:colOff>122465</xdr:colOff>
      <xdr:row>20</xdr:row>
      <xdr:rowOff>76200</xdr:rowOff>
    </xdr:to>
    <xdr:cxnSp macro="">
      <xdr:nvCxnSpPr>
        <xdr:cNvPr id="22467" name="직선 화살표 연결선 22466"/>
        <xdr:cNvCxnSpPr/>
      </xdr:nvCxnSpPr>
      <xdr:spPr>
        <a:xfrm>
          <a:off x="11676290" y="325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122465</xdr:colOff>
      <xdr:row>19</xdr:row>
      <xdr:rowOff>19050</xdr:rowOff>
    </xdr:from>
    <xdr:to>
      <xdr:col>50</xdr:col>
      <xdr:colOff>0</xdr:colOff>
      <xdr:row>19</xdr:row>
      <xdr:rowOff>133350</xdr:rowOff>
    </xdr:to>
    <xdr:sp macro="" textlink="">
      <xdr:nvSpPr>
        <xdr:cNvPr id="22468" name="직사각형 22467"/>
        <xdr:cNvSpPr/>
      </xdr:nvSpPr>
      <xdr:spPr>
        <a:xfrm>
          <a:off x="11676290" y="30480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122465</xdr:colOff>
      <xdr:row>19</xdr:row>
      <xdr:rowOff>76200</xdr:rowOff>
    </xdr:from>
    <xdr:to>
      <xdr:col>49</xdr:col>
      <xdr:colOff>122465</xdr:colOff>
      <xdr:row>19</xdr:row>
      <xdr:rowOff>76200</xdr:rowOff>
    </xdr:to>
    <xdr:cxnSp macro="">
      <xdr:nvCxnSpPr>
        <xdr:cNvPr id="22469" name="직선 화살표 연결선 22468"/>
        <xdr:cNvCxnSpPr/>
      </xdr:nvCxnSpPr>
      <xdr:spPr>
        <a:xfrm>
          <a:off x="11676290" y="310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40822</xdr:colOff>
      <xdr:row>18</xdr:row>
      <xdr:rowOff>19050</xdr:rowOff>
    </xdr:from>
    <xdr:to>
      <xdr:col>50</xdr:col>
      <xdr:colOff>0</xdr:colOff>
      <xdr:row>18</xdr:row>
      <xdr:rowOff>133350</xdr:rowOff>
    </xdr:to>
    <xdr:sp macro="" textlink="">
      <xdr:nvSpPr>
        <xdr:cNvPr id="22470" name="직사각형 22469"/>
        <xdr:cNvSpPr/>
      </xdr:nvSpPr>
      <xdr:spPr>
        <a:xfrm>
          <a:off x="11308897" y="2895600"/>
          <a:ext cx="387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40822</xdr:colOff>
      <xdr:row>18</xdr:row>
      <xdr:rowOff>76200</xdr:rowOff>
    </xdr:from>
    <xdr:to>
      <xdr:col>47</xdr:col>
      <xdr:colOff>40822</xdr:colOff>
      <xdr:row>18</xdr:row>
      <xdr:rowOff>76200</xdr:rowOff>
    </xdr:to>
    <xdr:cxnSp macro="">
      <xdr:nvCxnSpPr>
        <xdr:cNvPr id="22471" name="직선 화살표 연결선 22470"/>
        <xdr:cNvCxnSpPr/>
      </xdr:nvCxnSpPr>
      <xdr:spPr>
        <a:xfrm>
          <a:off x="11308897" y="295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17</xdr:row>
      <xdr:rowOff>19050</xdr:rowOff>
    </xdr:from>
    <xdr:to>
      <xdr:col>47</xdr:col>
      <xdr:colOff>0</xdr:colOff>
      <xdr:row>17</xdr:row>
      <xdr:rowOff>133350</xdr:rowOff>
    </xdr:to>
    <xdr:sp macro="" textlink="">
      <xdr:nvSpPr>
        <xdr:cNvPr id="22472" name="직사각형 22471"/>
        <xdr:cNvSpPr/>
      </xdr:nvSpPr>
      <xdr:spPr>
        <a:xfrm>
          <a:off x="11166022" y="2743200"/>
          <a:ext cx="102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17</xdr:row>
      <xdr:rowOff>76200</xdr:rowOff>
    </xdr:from>
    <xdr:to>
      <xdr:col>46</xdr:col>
      <xdr:colOff>40822</xdr:colOff>
      <xdr:row>17</xdr:row>
      <xdr:rowOff>76200</xdr:rowOff>
    </xdr:to>
    <xdr:cxnSp macro="">
      <xdr:nvCxnSpPr>
        <xdr:cNvPr id="22473" name="직선 화살표 연결선 22472"/>
        <xdr:cNvCxnSpPr/>
      </xdr:nvCxnSpPr>
      <xdr:spPr>
        <a:xfrm>
          <a:off x="11166022" y="280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16</xdr:row>
      <xdr:rowOff>19050</xdr:rowOff>
    </xdr:from>
    <xdr:to>
      <xdr:col>50</xdr:col>
      <xdr:colOff>0</xdr:colOff>
      <xdr:row>16</xdr:row>
      <xdr:rowOff>133350</xdr:rowOff>
    </xdr:to>
    <xdr:sp macro="" textlink="">
      <xdr:nvSpPr>
        <xdr:cNvPr id="22474" name="직사각형 22473"/>
        <xdr:cNvSpPr/>
      </xdr:nvSpPr>
      <xdr:spPr>
        <a:xfrm>
          <a:off x="11166022" y="2590800"/>
          <a:ext cx="5306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16</xdr:row>
      <xdr:rowOff>76200</xdr:rowOff>
    </xdr:from>
    <xdr:to>
      <xdr:col>46</xdr:col>
      <xdr:colOff>40822</xdr:colOff>
      <xdr:row>16</xdr:row>
      <xdr:rowOff>76200</xdr:rowOff>
    </xdr:to>
    <xdr:cxnSp macro="">
      <xdr:nvCxnSpPr>
        <xdr:cNvPr id="22475" name="직선 화살표 연결선 22474"/>
        <xdr:cNvCxnSpPr/>
      </xdr:nvCxnSpPr>
      <xdr:spPr>
        <a:xfrm>
          <a:off x="11166022" y="264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14</xdr:row>
      <xdr:rowOff>19050</xdr:rowOff>
    </xdr:from>
    <xdr:to>
      <xdr:col>31</xdr:col>
      <xdr:colOff>81643</xdr:colOff>
      <xdr:row>14</xdr:row>
      <xdr:rowOff>133350</xdr:rowOff>
    </xdr:to>
    <xdr:sp macro="" textlink="">
      <xdr:nvSpPr>
        <xdr:cNvPr id="22476" name="직사각형 22475"/>
        <xdr:cNvSpPr/>
      </xdr:nvSpPr>
      <xdr:spPr>
        <a:xfrm>
          <a:off x="9043307" y="22860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14</xdr:row>
      <xdr:rowOff>76200</xdr:rowOff>
    </xdr:from>
    <xdr:to>
      <xdr:col>31</xdr:col>
      <xdr:colOff>61232</xdr:colOff>
      <xdr:row>14</xdr:row>
      <xdr:rowOff>76200</xdr:rowOff>
    </xdr:to>
    <xdr:cxnSp macro="">
      <xdr:nvCxnSpPr>
        <xdr:cNvPr id="22477" name="직선 화살표 연결선 22476"/>
        <xdr:cNvCxnSpPr/>
      </xdr:nvCxnSpPr>
      <xdr:spPr>
        <a:xfrm>
          <a:off x="9043307" y="234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13</xdr:row>
      <xdr:rowOff>19050</xdr:rowOff>
    </xdr:from>
    <xdr:to>
      <xdr:col>45</xdr:col>
      <xdr:colOff>40822</xdr:colOff>
      <xdr:row>13</xdr:row>
      <xdr:rowOff>133350</xdr:rowOff>
    </xdr:to>
    <xdr:sp macro="" textlink="">
      <xdr:nvSpPr>
        <xdr:cNvPr id="22478" name="직사각형 22477"/>
        <xdr:cNvSpPr/>
      </xdr:nvSpPr>
      <xdr:spPr>
        <a:xfrm>
          <a:off x="10492468" y="2133600"/>
          <a:ext cx="530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13</xdr:row>
      <xdr:rowOff>76200</xdr:rowOff>
    </xdr:from>
    <xdr:to>
      <xdr:col>41</xdr:col>
      <xdr:colOff>81643</xdr:colOff>
      <xdr:row>13</xdr:row>
      <xdr:rowOff>76200</xdr:rowOff>
    </xdr:to>
    <xdr:cxnSp macro="">
      <xdr:nvCxnSpPr>
        <xdr:cNvPr id="22479" name="직선 화살표 연결선 22478"/>
        <xdr:cNvCxnSpPr/>
      </xdr:nvCxnSpPr>
      <xdr:spPr>
        <a:xfrm>
          <a:off x="10492468" y="219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xdr:row>
      <xdr:rowOff>19050</xdr:rowOff>
    </xdr:from>
    <xdr:to>
      <xdr:col>36</xdr:col>
      <xdr:colOff>81643</xdr:colOff>
      <xdr:row>12</xdr:row>
      <xdr:rowOff>133350</xdr:rowOff>
    </xdr:to>
    <xdr:sp macro="" textlink="">
      <xdr:nvSpPr>
        <xdr:cNvPr id="22480" name="직사각형 22479"/>
        <xdr:cNvSpPr/>
      </xdr:nvSpPr>
      <xdr:spPr>
        <a:xfrm>
          <a:off x="9757682" y="19812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xdr:row>
      <xdr:rowOff>76200</xdr:rowOff>
    </xdr:from>
    <xdr:to>
      <xdr:col>36</xdr:col>
      <xdr:colOff>61232</xdr:colOff>
      <xdr:row>12</xdr:row>
      <xdr:rowOff>76200</xdr:rowOff>
    </xdr:to>
    <xdr:cxnSp macro="">
      <xdr:nvCxnSpPr>
        <xdr:cNvPr id="22481" name="직선 화살표 연결선 22480"/>
        <xdr:cNvCxnSpPr/>
      </xdr:nvCxnSpPr>
      <xdr:spPr>
        <a:xfrm>
          <a:off x="9757682" y="203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11</xdr:row>
      <xdr:rowOff>19050</xdr:rowOff>
    </xdr:from>
    <xdr:to>
      <xdr:col>32</xdr:col>
      <xdr:colOff>81643</xdr:colOff>
      <xdr:row>11</xdr:row>
      <xdr:rowOff>133350</xdr:rowOff>
    </xdr:to>
    <xdr:sp macro="" textlink="">
      <xdr:nvSpPr>
        <xdr:cNvPr id="22482" name="직사각형 22481"/>
        <xdr:cNvSpPr/>
      </xdr:nvSpPr>
      <xdr:spPr>
        <a:xfrm>
          <a:off x="9104540" y="1828800"/>
          <a:ext cx="102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11</xdr:row>
      <xdr:rowOff>76200</xdr:rowOff>
    </xdr:from>
    <xdr:to>
      <xdr:col>31</xdr:col>
      <xdr:colOff>122465</xdr:colOff>
      <xdr:row>11</xdr:row>
      <xdr:rowOff>76200</xdr:rowOff>
    </xdr:to>
    <xdr:cxnSp macro="">
      <xdr:nvCxnSpPr>
        <xdr:cNvPr id="22483" name="직선 화살표 연결선 22482"/>
        <xdr:cNvCxnSpPr/>
      </xdr:nvCxnSpPr>
      <xdr:spPr>
        <a:xfrm>
          <a:off x="9104540" y="188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10</xdr:row>
      <xdr:rowOff>19050</xdr:rowOff>
    </xdr:from>
    <xdr:to>
      <xdr:col>45</xdr:col>
      <xdr:colOff>40822</xdr:colOff>
      <xdr:row>10</xdr:row>
      <xdr:rowOff>133350</xdr:rowOff>
    </xdr:to>
    <xdr:sp macro="" textlink="">
      <xdr:nvSpPr>
        <xdr:cNvPr id="22484" name="직사각형 22483"/>
        <xdr:cNvSpPr/>
      </xdr:nvSpPr>
      <xdr:spPr>
        <a:xfrm>
          <a:off x="9043307" y="1676400"/>
          <a:ext cx="19798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10</xdr:row>
      <xdr:rowOff>76200</xdr:rowOff>
    </xdr:from>
    <xdr:to>
      <xdr:col>31</xdr:col>
      <xdr:colOff>61232</xdr:colOff>
      <xdr:row>10</xdr:row>
      <xdr:rowOff>76200</xdr:rowOff>
    </xdr:to>
    <xdr:cxnSp macro="">
      <xdr:nvCxnSpPr>
        <xdr:cNvPr id="22485" name="직선 화살표 연결선 22484"/>
        <xdr:cNvCxnSpPr/>
      </xdr:nvCxnSpPr>
      <xdr:spPr>
        <a:xfrm>
          <a:off x="9043307" y="173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9</xdr:row>
      <xdr:rowOff>19050</xdr:rowOff>
    </xdr:from>
    <xdr:to>
      <xdr:col>31</xdr:col>
      <xdr:colOff>81643</xdr:colOff>
      <xdr:row>9</xdr:row>
      <xdr:rowOff>133350</xdr:rowOff>
    </xdr:to>
    <xdr:sp macro="" textlink="">
      <xdr:nvSpPr>
        <xdr:cNvPr id="22486" name="직사각형 22485"/>
        <xdr:cNvSpPr/>
      </xdr:nvSpPr>
      <xdr:spPr>
        <a:xfrm>
          <a:off x="9043307" y="15240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9</xdr:row>
      <xdr:rowOff>76200</xdr:rowOff>
    </xdr:from>
    <xdr:to>
      <xdr:col>31</xdr:col>
      <xdr:colOff>61232</xdr:colOff>
      <xdr:row>9</xdr:row>
      <xdr:rowOff>76200</xdr:rowOff>
    </xdr:to>
    <xdr:cxnSp macro="">
      <xdr:nvCxnSpPr>
        <xdr:cNvPr id="22487" name="직선 화살표 연결선 22486"/>
        <xdr:cNvCxnSpPr/>
      </xdr:nvCxnSpPr>
      <xdr:spPr>
        <a:xfrm>
          <a:off x="9043307" y="158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8</xdr:row>
      <xdr:rowOff>19050</xdr:rowOff>
    </xdr:from>
    <xdr:to>
      <xdr:col>29</xdr:col>
      <xdr:colOff>122465</xdr:colOff>
      <xdr:row>8</xdr:row>
      <xdr:rowOff>133350</xdr:rowOff>
    </xdr:to>
    <xdr:sp macro="" textlink="">
      <xdr:nvSpPr>
        <xdr:cNvPr id="22488" name="직사각형 22487"/>
        <xdr:cNvSpPr/>
      </xdr:nvSpPr>
      <xdr:spPr>
        <a:xfrm>
          <a:off x="8675915" y="137160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8</xdr:row>
      <xdr:rowOff>76200</xdr:rowOff>
    </xdr:from>
    <xdr:to>
      <xdr:col>29</xdr:col>
      <xdr:colOff>122465</xdr:colOff>
      <xdr:row>8</xdr:row>
      <xdr:rowOff>76200</xdr:rowOff>
    </xdr:to>
    <xdr:cxnSp macro="">
      <xdr:nvCxnSpPr>
        <xdr:cNvPr id="22489" name="직선 화살표 연결선 22488"/>
        <xdr:cNvCxnSpPr/>
      </xdr:nvCxnSpPr>
      <xdr:spPr>
        <a:xfrm>
          <a:off x="8675915" y="14287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7</xdr:row>
      <xdr:rowOff>19050</xdr:rowOff>
    </xdr:from>
    <xdr:to>
      <xdr:col>31</xdr:col>
      <xdr:colOff>81643</xdr:colOff>
      <xdr:row>7</xdr:row>
      <xdr:rowOff>133350</xdr:rowOff>
    </xdr:to>
    <xdr:sp macro="" textlink="">
      <xdr:nvSpPr>
        <xdr:cNvPr id="22490" name="직사각형 22489"/>
        <xdr:cNvSpPr/>
      </xdr:nvSpPr>
      <xdr:spPr>
        <a:xfrm>
          <a:off x="8675915" y="1219200"/>
          <a:ext cx="387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7</xdr:row>
      <xdr:rowOff>76200</xdr:rowOff>
    </xdr:from>
    <xdr:to>
      <xdr:col>31</xdr:col>
      <xdr:colOff>4083</xdr:colOff>
      <xdr:row>7</xdr:row>
      <xdr:rowOff>76200</xdr:rowOff>
    </xdr:to>
    <xdr:cxnSp macro="">
      <xdr:nvCxnSpPr>
        <xdr:cNvPr id="22491" name="직선 화살표 연결선 22490"/>
        <xdr:cNvCxnSpPr/>
      </xdr:nvCxnSpPr>
      <xdr:spPr>
        <a:xfrm>
          <a:off x="8675915" y="127635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6</xdr:row>
      <xdr:rowOff>19050</xdr:rowOff>
    </xdr:from>
    <xdr:to>
      <xdr:col>28</xdr:col>
      <xdr:colOff>81643</xdr:colOff>
      <xdr:row>6</xdr:row>
      <xdr:rowOff>133350</xdr:rowOff>
    </xdr:to>
    <xdr:sp macro="" textlink="">
      <xdr:nvSpPr>
        <xdr:cNvPr id="22492" name="직사각형 22491"/>
        <xdr:cNvSpPr/>
      </xdr:nvSpPr>
      <xdr:spPr>
        <a:xfrm>
          <a:off x="8594272" y="10668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6</xdr:row>
      <xdr:rowOff>76200</xdr:rowOff>
    </xdr:from>
    <xdr:to>
      <xdr:col>28</xdr:col>
      <xdr:colOff>81643</xdr:colOff>
      <xdr:row>6</xdr:row>
      <xdr:rowOff>76200</xdr:rowOff>
    </xdr:to>
    <xdr:cxnSp macro="">
      <xdr:nvCxnSpPr>
        <xdr:cNvPr id="22493" name="직선 화살표 연결선 22492"/>
        <xdr:cNvCxnSpPr/>
      </xdr:nvCxnSpPr>
      <xdr:spPr>
        <a:xfrm>
          <a:off x="8594272" y="11239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5</xdr:row>
      <xdr:rowOff>19050</xdr:rowOff>
    </xdr:from>
    <xdr:to>
      <xdr:col>31</xdr:col>
      <xdr:colOff>81643</xdr:colOff>
      <xdr:row>5</xdr:row>
      <xdr:rowOff>133350</xdr:rowOff>
    </xdr:to>
    <xdr:sp macro="" textlink="">
      <xdr:nvSpPr>
        <xdr:cNvPr id="22494" name="직사각형 22493"/>
        <xdr:cNvSpPr/>
      </xdr:nvSpPr>
      <xdr:spPr>
        <a:xfrm>
          <a:off x="8594272" y="914400"/>
          <a:ext cx="4694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5</xdr:row>
      <xdr:rowOff>76200</xdr:rowOff>
    </xdr:from>
    <xdr:to>
      <xdr:col>31</xdr:col>
      <xdr:colOff>3402</xdr:colOff>
      <xdr:row>5</xdr:row>
      <xdr:rowOff>76200</xdr:rowOff>
    </xdr:to>
    <xdr:cxnSp macro="">
      <xdr:nvCxnSpPr>
        <xdr:cNvPr id="22495" name="직선 화살표 연결선 22494"/>
        <xdr:cNvCxnSpPr/>
      </xdr:nvCxnSpPr>
      <xdr:spPr>
        <a:xfrm>
          <a:off x="8594272" y="971550"/>
          <a:ext cx="391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4</xdr:row>
      <xdr:rowOff>19050</xdr:rowOff>
    </xdr:from>
    <xdr:to>
      <xdr:col>50</xdr:col>
      <xdr:colOff>0</xdr:colOff>
      <xdr:row>4</xdr:row>
      <xdr:rowOff>133350</xdr:rowOff>
    </xdr:to>
    <xdr:sp macro="" textlink="">
      <xdr:nvSpPr>
        <xdr:cNvPr id="22496" name="직사각형 22495"/>
        <xdr:cNvSpPr/>
      </xdr:nvSpPr>
      <xdr:spPr>
        <a:xfrm>
          <a:off x="8594272" y="762000"/>
          <a:ext cx="31024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4</xdr:row>
      <xdr:rowOff>76200</xdr:rowOff>
    </xdr:from>
    <xdr:to>
      <xdr:col>30</xdr:col>
      <xdr:colOff>107621</xdr:colOff>
      <xdr:row>4</xdr:row>
      <xdr:rowOff>76200</xdr:rowOff>
    </xdr:to>
    <xdr:cxnSp macro="">
      <xdr:nvCxnSpPr>
        <xdr:cNvPr id="22497" name="직선 화살표 연결선 22496"/>
        <xdr:cNvCxnSpPr/>
      </xdr:nvCxnSpPr>
      <xdr:spPr>
        <a:xfrm>
          <a:off x="8594272" y="819150"/>
          <a:ext cx="3525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1161</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1151</v>
      </c>
      <c r="D11" s="99" t="s">
        <v>26</v>
      </c>
      <c r="E11" s="108">
        <v>1</v>
      </c>
      <c r="F11" s="109" t="s">
        <v>27</v>
      </c>
      <c r="G11" s="110">
        <v>43375</v>
      </c>
      <c r="H11" s="109" t="s">
        <v>28</v>
      </c>
      <c r="I11" s="110">
        <v>43526</v>
      </c>
      <c r="J11" s="102" t="s">
        <v>418</v>
      </c>
      <c r="K11" s="102" t="s">
        <v>1187</v>
      </c>
      <c r="L11" s="102" t="s">
        <v>415</v>
      </c>
      <c r="M11" s="102">
        <v>1</v>
      </c>
      <c r="N11" s="107" t="s">
        <v>29</v>
      </c>
      <c r="O11" s="99">
        <v>0</v>
      </c>
      <c r="P11" s="99" t="s">
        <v>30</v>
      </c>
      <c r="Q11" s="107" t="s">
        <v>1152</v>
      </c>
      <c r="R11" s="102" t="s">
        <v>420</v>
      </c>
      <c r="S11" s="102">
        <v>1</v>
      </c>
      <c r="T11" s="102" t="s">
        <v>425</v>
      </c>
      <c r="U11" s="102">
        <v>1</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1153</v>
      </c>
      <c r="F13" s="99" t="s">
        <v>33</v>
      </c>
      <c r="G13" s="109" t="s">
        <v>1168</v>
      </c>
      <c r="H13" s="109" t="s">
        <v>34</v>
      </c>
      <c r="I13" s="102" t="s">
        <v>1070</v>
      </c>
    </row>
    <row r="14" spans="1:64">
      <c r="A14" s="101" t="s">
        <v>403</v>
      </c>
      <c r="B14" s="108" t="s">
        <v>35</v>
      </c>
      <c r="C14" s="108" t="s">
        <v>1169</v>
      </c>
      <c r="D14" s="108" t="s">
        <v>36</v>
      </c>
      <c r="E14" s="108" t="s">
        <v>1170</v>
      </c>
      <c r="F14" s="108" t="s">
        <v>37</v>
      </c>
      <c r="G14" s="108" t="s">
        <v>1171</v>
      </c>
      <c r="H14" s="108" t="s">
        <v>38</v>
      </c>
      <c r="I14" s="108" t="b">
        <v>0</v>
      </c>
      <c r="J14" s="108" t="s">
        <v>39</v>
      </c>
      <c r="K14" s="108" t="s">
        <v>1172</v>
      </c>
      <c r="L14" s="108" t="s">
        <v>40</v>
      </c>
      <c r="M14" s="108" t="s">
        <v>1145</v>
      </c>
      <c r="N14" s="108" t="s">
        <v>41</v>
      </c>
      <c r="O14" s="108" t="s">
        <v>1144</v>
      </c>
      <c r="P14" s="108" t="s">
        <v>42</v>
      </c>
      <c r="Q14" s="108" t="b">
        <v>0</v>
      </c>
      <c r="R14" s="108" t="s">
        <v>43</v>
      </c>
      <c r="S14" s="108" t="s">
        <v>1173</v>
      </c>
      <c r="T14" s="108" t="s">
        <v>44</v>
      </c>
      <c r="U14" s="108" t="s">
        <v>1174</v>
      </c>
      <c r="V14" s="108" t="s">
        <v>45</v>
      </c>
      <c r="W14" s="108" t="s">
        <v>1144</v>
      </c>
      <c r="X14" s="108" t="s">
        <v>46</v>
      </c>
      <c r="Y14" s="108" t="b">
        <v>1</v>
      </c>
      <c r="Z14" s="108" t="s">
        <v>47</v>
      </c>
      <c r="AA14" s="108" t="s">
        <v>1146</v>
      </c>
      <c r="AB14" s="108" t="s">
        <v>48</v>
      </c>
      <c r="AC14" s="108" t="s">
        <v>1175</v>
      </c>
      <c r="AD14" s="108" t="s">
        <v>49</v>
      </c>
      <c r="AE14" s="108" t="s">
        <v>1176</v>
      </c>
      <c r="AF14" s="108" t="s">
        <v>50</v>
      </c>
      <c r="AG14" s="108" t="b">
        <v>1</v>
      </c>
      <c r="AH14" s="108" t="s">
        <v>51</v>
      </c>
      <c r="AI14" s="108" t="s">
        <v>1154</v>
      </c>
      <c r="AJ14" s="108" t="s">
        <v>52</v>
      </c>
      <c r="AK14" s="108" t="s">
        <v>1108</v>
      </c>
      <c r="AL14" s="108" t="s">
        <v>53</v>
      </c>
      <c r="AM14" s="108" t="s">
        <v>1177</v>
      </c>
      <c r="AN14" s="108" t="s">
        <v>54</v>
      </c>
      <c r="AO14" s="108" t="b">
        <v>0</v>
      </c>
      <c r="AP14" s="108" t="s">
        <v>55</v>
      </c>
      <c r="AQ14" s="108" t="s">
        <v>1106</v>
      </c>
      <c r="AR14" s="108" t="s">
        <v>56</v>
      </c>
      <c r="AS14" s="108" t="s">
        <v>1109</v>
      </c>
      <c r="AT14" s="108" t="s">
        <v>57</v>
      </c>
      <c r="AU14" s="108" t="s">
        <v>1155</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1111</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934</v>
      </c>
      <c r="B1" s="124" t="s">
        <v>935</v>
      </c>
      <c r="C1" s="125" t="s">
        <v>936</v>
      </c>
      <c r="D1" s="125" t="s">
        <v>67</v>
      </c>
      <c r="E1" s="125" t="s">
        <v>68</v>
      </c>
    </row>
    <row r="2" spans="1:5" ht="60">
      <c r="A2" s="126" t="s">
        <v>1147</v>
      </c>
      <c r="B2" s="139">
        <v>1</v>
      </c>
      <c r="D2" s="127" t="s">
        <v>937</v>
      </c>
      <c r="E2" s="140" t="s">
        <v>611</v>
      </c>
    </row>
    <row r="3" spans="1:5" ht="112.5" customHeight="1">
      <c r="A3" s="128">
        <v>450</v>
      </c>
      <c r="B3" s="139">
        <v>2</v>
      </c>
      <c r="D3" s="127" t="s">
        <v>537</v>
      </c>
      <c r="E3" s="140" t="s">
        <v>938</v>
      </c>
    </row>
    <row r="4" spans="1:5" ht="48">
      <c r="B4" s="139">
        <v>3</v>
      </c>
      <c r="D4" s="127" t="s">
        <v>939</v>
      </c>
      <c r="E4" s="140" t="s">
        <v>612</v>
      </c>
    </row>
    <row r="5" spans="1:5" ht="48">
      <c r="B5" s="139">
        <v>4</v>
      </c>
      <c r="D5" s="127" t="s">
        <v>940</v>
      </c>
      <c r="E5" s="140" t="s">
        <v>613</v>
      </c>
    </row>
    <row r="6" spans="1:5" ht="60">
      <c r="B6" s="139">
        <v>5</v>
      </c>
      <c r="D6" s="127" t="s">
        <v>941</v>
      </c>
      <c r="E6" s="140" t="s">
        <v>614</v>
      </c>
    </row>
    <row r="7" spans="1:5" ht="3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36">
      <c r="B15" s="139">
        <v>107</v>
      </c>
      <c r="D15" s="127" t="s">
        <v>456</v>
      </c>
      <c r="E15" s="140" t="s">
        <v>622</v>
      </c>
    </row>
    <row r="16" spans="1:5" ht="3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4">
      <c r="B24" s="139">
        <v>116</v>
      </c>
      <c r="D24" s="127" t="s">
        <v>458</v>
      </c>
      <c r="E24" s="140" t="s">
        <v>628</v>
      </c>
    </row>
    <row r="25" spans="1:6">
      <c r="B25" s="139">
        <v>117</v>
      </c>
      <c r="D25" s="127" t="s">
        <v>459</v>
      </c>
      <c r="E25" s="140" t="s">
        <v>629</v>
      </c>
    </row>
    <row r="26" spans="1:6" ht="2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ht="24">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ht="24">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2.75">
      <c r="B62" s="139">
        <v>154</v>
      </c>
      <c r="D62" s="127" t="s">
        <v>104</v>
      </c>
      <c r="E62" s="168" t="s">
        <v>932</v>
      </c>
    </row>
    <row r="63" spans="1:6" ht="12.75">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4">
      <c r="B89" s="139">
        <v>181</v>
      </c>
      <c r="D89" s="127" t="s">
        <v>468</v>
      </c>
      <c r="E89" s="140" t="s">
        <v>668</v>
      </c>
    </row>
    <row r="90" spans="2:5" ht="2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4">
      <c r="B96" s="139">
        <v>188</v>
      </c>
      <c r="D96" s="127" t="s">
        <v>128</v>
      </c>
      <c r="E96" s="140" t="s">
        <v>671</v>
      </c>
    </row>
    <row r="97" spans="2:5" ht="2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1107</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4">
      <c r="B162" s="139">
        <v>254</v>
      </c>
      <c r="D162" s="127" t="s">
        <v>169</v>
      </c>
      <c r="E162" s="140" t="s">
        <v>719</v>
      </c>
    </row>
    <row r="163" spans="2:5" ht="24">
      <c r="B163" s="139">
        <v>255</v>
      </c>
      <c r="D163" s="127" t="s">
        <v>170</v>
      </c>
      <c r="E163" s="140" t="s">
        <v>720</v>
      </c>
    </row>
    <row r="164" spans="2:5" ht="2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4">
      <c r="B207" s="139">
        <v>299</v>
      </c>
      <c r="D207" s="127" t="s">
        <v>203</v>
      </c>
      <c r="E207" s="140" t="s">
        <v>743</v>
      </c>
    </row>
    <row r="208" spans="2:5" ht="2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6">
      <c r="B229" s="139">
        <v>321</v>
      </c>
      <c r="D229" s="127" t="s">
        <v>217</v>
      </c>
      <c r="E229" s="140" t="s">
        <v>758</v>
      </c>
    </row>
    <row r="230" spans="1:6">
      <c r="B230" s="139">
        <v>322</v>
      </c>
      <c r="D230" s="127" t="s">
        <v>218</v>
      </c>
      <c r="E230" s="140" t="s">
        <v>759</v>
      </c>
    </row>
    <row r="231" spans="1:6" ht="2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2.75">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4">
      <c r="B257" s="139">
        <v>349</v>
      </c>
      <c r="D257" s="127" t="s">
        <v>241</v>
      </c>
      <c r="E257" s="140" t="s">
        <v>774</v>
      </c>
    </row>
    <row r="258" spans="2:5">
      <c r="B258" s="139">
        <v>350</v>
      </c>
      <c r="D258" s="127" t="s">
        <v>242</v>
      </c>
      <c r="E258" s="140" t="s">
        <v>775</v>
      </c>
    </row>
    <row r="259" spans="2:5" ht="24">
      <c r="B259" s="139">
        <v>351</v>
      </c>
      <c r="D259" s="127" t="s">
        <v>243</v>
      </c>
      <c r="E259" s="140" t="s">
        <v>776</v>
      </c>
    </row>
    <row r="260" spans="2:5" ht="12.75">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4">
      <c r="B271" s="139">
        <v>363</v>
      </c>
      <c r="D271" s="127" t="s">
        <v>513</v>
      </c>
      <c r="E271" s="140" t="s">
        <v>783</v>
      </c>
    </row>
    <row r="272" spans="2:5" ht="2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6">
      <c r="B290" s="139">
        <v>382</v>
      </c>
      <c r="D290" s="127" t="s">
        <v>269</v>
      </c>
      <c r="E290" s="140" t="s">
        <v>794</v>
      </c>
    </row>
    <row r="291" spans="2:5">
      <c r="B291" s="139">
        <v>383</v>
      </c>
      <c r="D291" s="127" t="s">
        <v>270</v>
      </c>
      <c r="E291" s="140" t="s">
        <v>795</v>
      </c>
    </row>
    <row r="292" spans="2:5" ht="24">
      <c r="B292" s="139">
        <v>384</v>
      </c>
      <c r="D292" s="127" t="s">
        <v>271</v>
      </c>
      <c r="E292" s="140" t="s">
        <v>796</v>
      </c>
    </row>
    <row r="293" spans="2:5">
      <c r="B293" s="139">
        <v>385</v>
      </c>
      <c r="D293" s="127" t="s">
        <v>272</v>
      </c>
      <c r="E293" s="140" t="s">
        <v>797</v>
      </c>
    </row>
    <row r="294" spans="2:5" ht="24">
      <c r="B294" s="139">
        <v>386</v>
      </c>
      <c r="D294" s="127" t="s">
        <v>273</v>
      </c>
      <c r="E294" s="140" t="s">
        <v>798</v>
      </c>
    </row>
    <row r="295" spans="2:5" ht="24">
      <c r="B295" s="139">
        <v>387</v>
      </c>
      <c r="D295" s="127" t="s">
        <v>274</v>
      </c>
      <c r="E295" s="140" t="s">
        <v>799</v>
      </c>
    </row>
    <row r="296" spans="2:5" ht="24">
      <c r="B296" s="139">
        <v>388</v>
      </c>
      <c r="D296" s="127" t="s">
        <v>275</v>
      </c>
      <c r="E296" s="140" t="s">
        <v>800</v>
      </c>
    </row>
    <row r="297" spans="2:5" ht="24">
      <c r="B297" s="139">
        <v>389</v>
      </c>
      <c r="D297" s="127" t="s">
        <v>276</v>
      </c>
      <c r="E297" s="140" t="s">
        <v>801</v>
      </c>
    </row>
    <row r="298" spans="2:5" ht="24">
      <c r="B298" s="139">
        <v>390</v>
      </c>
      <c r="D298" s="127" t="s">
        <v>277</v>
      </c>
      <c r="E298" s="140" t="s">
        <v>802</v>
      </c>
    </row>
    <row r="299" spans="2:5" ht="24">
      <c r="B299" s="139">
        <v>391</v>
      </c>
      <c r="D299" s="127" t="s">
        <v>278</v>
      </c>
      <c r="E299" s="140" t="s">
        <v>803</v>
      </c>
    </row>
    <row r="300" spans="2:5" ht="24">
      <c r="B300" s="139">
        <v>392</v>
      </c>
      <c r="D300" s="127" t="s">
        <v>279</v>
      </c>
      <c r="E300" s="140" t="s">
        <v>804</v>
      </c>
    </row>
    <row r="301" spans="2:5" ht="24">
      <c r="B301" s="139">
        <v>393</v>
      </c>
      <c r="D301" s="127" t="s">
        <v>280</v>
      </c>
      <c r="E301" s="140" t="s">
        <v>805</v>
      </c>
    </row>
    <row r="302" spans="2:5" ht="24">
      <c r="B302" s="139">
        <v>394</v>
      </c>
      <c r="D302" s="127" t="s">
        <v>281</v>
      </c>
      <c r="E302" s="140" t="s">
        <v>806</v>
      </c>
    </row>
    <row r="303" spans="2:5" ht="24">
      <c r="B303" s="139">
        <v>395</v>
      </c>
      <c r="D303" s="127" t="s">
        <v>282</v>
      </c>
      <c r="E303" s="140" t="s">
        <v>807</v>
      </c>
    </row>
    <row r="304" spans="2:5" ht="24">
      <c r="B304" s="139">
        <v>396</v>
      </c>
      <c r="D304" s="127" t="s">
        <v>283</v>
      </c>
      <c r="E304" s="140" t="s">
        <v>808</v>
      </c>
    </row>
    <row r="305" spans="2:5" ht="24">
      <c r="B305" s="139">
        <v>397</v>
      </c>
      <c r="D305" s="127" t="s">
        <v>284</v>
      </c>
      <c r="E305" s="140" t="s">
        <v>809</v>
      </c>
    </row>
    <row r="306" spans="2:5" ht="24">
      <c r="B306" s="139">
        <v>398</v>
      </c>
      <c r="D306" s="127" t="s">
        <v>285</v>
      </c>
      <c r="E306" s="140" t="s">
        <v>810</v>
      </c>
    </row>
    <row r="307" spans="2:5" ht="24">
      <c r="B307" s="139">
        <v>399</v>
      </c>
      <c r="D307" s="127" t="s">
        <v>286</v>
      </c>
      <c r="E307" s="140" t="s">
        <v>811</v>
      </c>
    </row>
    <row r="308" spans="2:5" ht="24">
      <c r="B308" s="139">
        <v>400</v>
      </c>
      <c r="D308" s="127" t="s">
        <v>287</v>
      </c>
      <c r="E308" s="140" t="s">
        <v>812</v>
      </c>
    </row>
    <row r="309" spans="2:5" ht="24">
      <c r="B309" s="139">
        <v>401</v>
      </c>
      <c r="D309" s="127" t="s">
        <v>288</v>
      </c>
      <c r="E309" s="140" t="s">
        <v>813</v>
      </c>
    </row>
    <row r="310" spans="2:5" ht="24">
      <c r="B310" s="139">
        <v>402</v>
      </c>
      <c r="D310" s="127" t="s">
        <v>289</v>
      </c>
      <c r="E310" s="140" t="s">
        <v>814</v>
      </c>
    </row>
    <row r="311" spans="2:5" ht="24">
      <c r="B311" s="139">
        <v>403</v>
      </c>
      <c r="D311" s="127" t="s">
        <v>290</v>
      </c>
      <c r="E311" s="140" t="s">
        <v>815</v>
      </c>
    </row>
    <row r="312" spans="2:5" ht="2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4">
      <c r="B316" s="139">
        <v>408</v>
      </c>
      <c r="D316" s="127" t="s">
        <v>293</v>
      </c>
      <c r="E316" s="140" t="s">
        <v>819</v>
      </c>
    </row>
    <row r="317" spans="2:5">
      <c r="B317" s="139">
        <v>409</v>
      </c>
      <c r="D317" s="127" t="s">
        <v>294</v>
      </c>
      <c r="E317" s="140" t="s">
        <v>820</v>
      </c>
    </row>
    <row r="318" spans="2:5" ht="24">
      <c r="B318" s="139">
        <v>410</v>
      </c>
      <c r="D318" s="127" t="s">
        <v>295</v>
      </c>
      <c r="E318" s="140" t="s">
        <v>821</v>
      </c>
    </row>
    <row r="319" spans="2:5">
      <c r="B319" s="139">
        <v>411</v>
      </c>
      <c r="D319" s="127" t="s">
        <v>516</v>
      </c>
      <c r="E319" s="140" t="s">
        <v>822</v>
      </c>
    </row>
    <row r="320" spans="2:5" ht="24">
      <c r="B320" s="139">
        <v>412</v>
      </c>
      <c r="D320" s="127" t="s">
        <v>517</v>
      </c>
      <c r="E320" s="140" t="s">
        <v>823</v>
      </c>
    </row>
    <row r="321" spans="1:6">
      <c r="B321" s="139">
        <v>413</v>
      </c>
      <c r="D321" s="127" t="s">
        <v>296</v>
      </c>
      <c r="E321" s="140" t="s">
        <v>824</v>
      </c>
    </row>
    <row r="322" spans="1:6" ht="24">
      <c r="B322" s="139">
        <v>414</v>
      </c>
      <c r="D322" s="127" t="s">
        <v>297</v>
      </c>
      <c r="E322" s="140" t="s">
        <v>825</v>
      </c>
    </row>
    <row r="323" spans="1:6">
      <c r="B323" s="139">
        <v>415</v>
      </c>
      <c r="D323" s="127" t="s">
        <v>298</v>
      </c>
      <c r="E323" s="140" t="s">
        <v>826</v>
      </c>
    </row>
    <row r="324" spans="1:6" ht="36">
      <c r="B324" s="139">
        <v>416</v>
      </c>
      <c r="D324" s="127" t="s">
        <v>299</v>
      </c>
      <c r="E324" s="140" t="s">
        <v>827</v>
      </c>
    </row>
    <row r="325" spans="1:6">
      <c r="B325" s="139">
        <v>417</v>
      </c>
      <c r="D325" s="127" t="s">
        <v>300</v>
      </c>
      <c r="E325" s="140" t="s">
        <v>828</v>
      </c>
    </row>
    <row r="326" spans="1:6" ht="24">
      <c r="B326" s="139">
        <v>418</v>
      </c>
      <c r="D326" s="127" t="s">
        <v>301</v>
      </c>
      <c r="E326" s="140" t="s">
        <v>829</v>
      </c>
    </row>
    <row r="327" spans="1:6" ht="24">
      <c r="B327" s="139">
        <v>419</v>
      </c>
      <c r="D327" s="127" t="s">
        <v>302</v>
      </c>
      <c r="E327" s="140" t="s">
        <v>830</v>
      </c>
    </row>
    <row r="328" spans="1:6" ht="2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38.25">
      <c r="A336" s="134"/>
      <c r="B336" s="139">
        <v>428</v>
      </c>
      <c r="C336" s="137" t="s">
        <v>946</v>
      </c>
      <c r="D336" s="134" t="s">
        <v>982</v>
      </c>
      <c r="E336" s="134" t="s">
        <v>983</v>
      </c>
      <c r="F336" s="135"/>
    </row>
    <row r="337" spans="2:5" ht="3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36">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2.75">
      <c r="B376" s="139">
        <v>468</v>
      </c>
      <c r="D376" s="127" t="s">
        <v>341</v>
      </c>
      <c r="E376" s="168" t="s">
        <v>933</v>
      </c>
    </row>
    <row r="377" spans="1:6">
      <c r="B377" s="139">
        <v>469</v>
      </c>
      <c r="D377" s="127" t="s">
        <v>342</v>
      </c>
      <c r="E377" s="140" t="s">
        <v>874</v>
      </c>
    </row>
    <row r="378" spans="1:6">
      <c r="B378" s="139">
        <v>470</v>
      </c>
      <c r="D378" s="127" t="s">
        <v>343</v>
      </c>
      <c r="E378" s="140" t="s">
        <v>603</v>
      </c>
    </row>
    <row r="379" spans="1:6" ht="24">
      <c r="B379" s="139">
        <v>471</v>
      </c>
      <c r="D379" s="127" t="s">
        <v>344</v>
      </c>
      <c r="E379" s="140" t="s">
        <v>875</v>
      </c>
    </row>
    <row r="380" spans="1:6">
      <c r="B380" s="139">
        <v>472</v>
      </c>
      <c r="D380" s="127" t="s">
        <v>345</v>
      </c>
      <c r="E380" s="140" t="s">
        <v>604</v>
      </c>
    </row>
    <row r="381" spans="1:6" ht="2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5.5">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2.75">
      <c r="A422" s="126"/>
      <c r="B422" s="139">
        <v>514</v>
      </c>
      <c r="C422" s="136"/>
      <c r="D422" s="127" t="s">
        <v>377</v>
      </c>
      <c r="E422" s="140" t="s">
        <v>901</v>
      </c>
      <c r="F422" s="126"/>
    </row>
    <row r="423" spans="1:6" s="134" customFormat="1" ht="12.75">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4">
      <c r="A425" s="126"/>
      <c r="B425" s="139">
        <v>517</v>
      </c>
      <c r="C425" s="136"/>
      <c r="D425" s="127" t="s">
        <v>380</v>
      </c>
      <c r="E425" s="140" t="s">
        <v>903</v>
      </c>
      <c r="F425" s="126"/>
    </row>
    <row r="426" spans="1:6" s="129" customFormat="1" ht="3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1001</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995</v>
      </c>
      <c r="D2" s="95">
        <v>43375</v>
      </c>
      <c r="E2" s="96">
        <v>43376</v>
      </c>
      <c r="F2" s="95">
        <v>43375</v>
      </c>
      <c r="G2" s="95">
        <v>43379</v>
      </c>
      <c r="H2" s="92">
        <v>1</v>
      </c>
    </row>
    <row r="3" spans="1:8">
      <c r="A3" s="93" t="s">
        <v>449</v>
      </c>
      <c r="B3" s="94" t="s">
        <v>427</v>
      </c>
      <c r="C3" s="95" t="s">
        <v>995</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1067</v>
      </c>
      <c r="D5" s="95">
        <v>43379</v>
      </c>
      <c r="E5" s="96">
        <v>43385</v>
      </c>
      <c r="F5" s="95">
        <v>43375</v>
      </c>
      <c r="G5" s="95">
        <v>43379</v>
      </c>
      <c r="H5" s="92">
        <v>0</v>
      </c>
    </row>
    <row r="6" spans="1:8">
      <c r="A6" s="93" t="s">
        <v>449</v>
      </c>
      <c r="B6" s="94" t="s">
        <v>427</v>
      </c>
      <c r="C6" s="95" t="s">
        <v>995</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1067</v>
      </c>
      <c r="D8" s="95">
        <v>43379</v>
      </c>
      <c r="E8" s="96">
        <v>43385</v>
      </c>
      <c r="F8" s="95">
        <v>43380</v>
      </c>
      <c r="G8" s="95">
        <v>43386</v>
      </c>
      <c r="H8" s="92">
        <v>1.3333333333333333</v>
      </c>
    </row>
    <row r="9" spans="1:8">
      <c r="A9" s="93" t="s">
        <v>450</v>
      </c>
      <c r="B9" s="94" t="s">
        <v>438</v>
      </c>
      <c r="C9" s="95" t="s">
        <v>995</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1131</v>
      </c>
      <c r="D13" s="95">
        <v>43468</v>
      </c>
      <c r="E13" s="96">
        <v>43493</v>
      </c>
      <c r="F13" s="95">
        <v>43464</v>
      </c>
      <c r="G13" s="95">
        <v>43470</v>
      </c>
      <c r="H13" s="92">
        <v>2</v>
      </c>
    </row>
    <row r="14" spans="1:8">
      <c r="A14" s="93" t="s">
        <v>433</v>
      </c>
      <c r="B14" s="94" t="s">
        <v>441</v>
      </c>
      <c r="C14" s="95" t="s">
        <v>1131</v>
      </c>
      <c r="D14" s="95">
        <v>43468</v>
      </c>
      <c r="E14" s="96">
        <v>43493</v>
      </c>
      <c r="F14" s="95">
        <v>43471</v>
      </c>
      <c r="G14" s="95">
        <v>43477</v>
      </c>
      <c r="H14" s="92">
        <v>5</v>
      </c>
    </row>
    <row r="15" spans="1:8">
      <c r="A15" s="93" t="s">
        <v>433</v>
      </c>
      <c r="B15" s="94" t="s">
        <v>441</v>
      </c>
      <c r="C15" s="95" t="s">
        <v>1131</v>
      </c>
      <c r="D15" s="95">
        <v>43468</v>
      </c>
      <c r="E15" s="96">
        <v>43493</v>
      </c>
      <c r="F15" s="95">
        <v>43478</v>
      </c>
      <c r="G15" s="95">
        <v>43484</v>
      </c>
      <c r="H15" s="92">
        <v>5</v>
      </c>
    </row>
    <row r="16" spans="1:8">
      <c r="A16" s="93" t="s">
        <v>433</v>
      </c>
      <c r="B16" s="94" t="s">
        <v>441</v>
      </c>
      <c r="C16" s="95" t="s">
        <v>1131</v>
      </c>
      <c r="D16" s="95">
        <v>43468</v>
      </c>
      <c r="E16" s="96">
        <v>43493</v>
      </c>
      <c r="F16" s="95">
        <v>43485</v>
      </c>
      <c r="G16" s="95">
        <v>43491</v>
      </c>
      <c r="H16" s="92">
        <v>5</v>
      </c>
    </row>
    <row r="17" spans="1:8">
      <c r="A17" s="93" t="s">
        <v>433</v>
      </c>
      <c r="B17" s="94" t="s">
        <v>441</v>
      </c>
      <c r="C17" s="95" t="s">
        <v>1131</v>
      </c>
      <c r="D17" s="95">
        <v>43468</v>
      </c>
      <c r="E17" s="96">
        <v>43493</v>
      </c>
      <c r="F17" s="95">
        <v>43492</v>
      </c>
      <c r="G17" s="95">
        <v>43498</v>
      </c>
      <c r="H17" s="92">
        <v>1</v>
      </c>
    </row>
    <row r="18" spans="1:8">
      <c r="A18" s="93" t="s">
        <v>434</v>
      </c>
      <c r="B18" s="94" t="s">
        <v>1003</v>
      </c>
      <c r="C18" s="95" t="s">
        <v>1131</v>
      </c>
      <c r="D18" s="95">
        <v>43397</v>
      </c>
      <c r="E18" s="96">
        <v>43397</v>
      </c>
      <c r="F18" s="95">
        <v>43394</v>
      </c>
      <c r="G18" s="95">
        <v>43400</v>
      </c>
      <c r="H18" s="92">
        <v>1</v>
      </c>
    </row>
    <row r="19" spans="1:8">
      <c r="A19" s="93" t="s">
        <v>435</v>
      </c>
      <c r="B19" s="94" t="s">
        <v>442</v>
      </c>
      <c r="C19" s="95" t="s">
        <v>995</v>
      </c>
      <c r="D19" s="95">
        <v>43501</v>
      </c>
      <c r="E19" s="96">
        <v>43505</v>
      </c>
      <c r="F19" s="95">
        <v>43499</v>
      </c>
      <c r="G19" s="95">
        <v>43505</v>
      </c>
      <c r="H19" s="92">
        <v>2</v>
      </c>
    </row>
    <row r="20" spans="1:8">
      <c r="A20" s="93" t="s">
        <v>436</v>
      </c>
      <c r="B20" s="94" t="s">
        <v>443</v>
      </c>
      <c r="C20" s="95" t="s">
        <v>995</v>
      </c>
      <c r="D20" s="95">
        <v>43508</v>
      </c>
      <c r="E20" s="96">
        <v>43526</v>
      </c>
      <c r="F20" s="95">
        <v>43506</v>
      </c>
      <c r="G20" s="95">
        <v>43512</v>
      </c>
      <c r="H20" s="92">
        <v>4</v>
      </c>
    </row>
    <row r="21" spans="1:8">
      <c r="A21" s="93" t="s">
        <v>436</v>
      </c>
      <c r="B21" s="94" t="s">
        <v>443</v>
      </c>
      <c r="C21" s="95" t="s">
        <v>995</v>
      </c>
      <c r="D21" s="95">
        <v>43508</v>
      </c>
      <c r="E21" s="96">
        <v>43526</v>
      </c>
      <c r="F21" s="95">
        <v>43513</v>
      </c>
      <c r="G21" s="95">
        <v>43519</v>
      </c>
      <c r="H21" s="92">
        <v>5</v>
      </c>
    </row>
    <row r="22" spans="1:8">
      <c r="A22" s="93" t="s">
        <v>436</v>
      </c>
      <c r="B22" s="94" t="s">
        <v>443</v>
      </c>
      <c r="C22" s="95" t="s">
        <v>995</v>
      </c>
      <c r="D22" s="95">
        <v>43508</v>
      </c>
      <c r="E22" s="96">
        <v>43526</v>
      </c>
      <c r="F22" s="95">
        <v>43520</v>
      </c>
      <c r="G22" s="95">
        <v>43526</v>
      </c>
      <c r="H22" s="92">
        <v>4</v>
      </c>
    </row>
    <row r="23" spans="1:8">
      <c r="A23" s="93" t="s">
        <v>437</v>
      </c>
      <c r="B23" s="94" t="s">
        <v>444</v>
      </c>
      <c r="C23" s="95" t="s">
        <v>995</v>
      </c>
      <c r="D23" s="95">
        <v>43526</v>
      </c>
      <c r="E23" s="96">
        <v>43526</v>
      </c>
      <c r="F23" s="95">
        <v>43520</v>
      </c>
      <c r="G23" s="95">
        <v>43526</v>
      </c>
      <c r="H23" s="92">
        <v>0</v>
      </c>
    </row>
    <row r="24" spans="1:8">
      <c r="A24" s="93" t="s">
        <v>451</v>
      </c>
      <c r="B24" s="94" t="s">
        <v>445</v>
      </c>
      <c r="C24" s="95" t="s">
        <v>995</v>
      </c>
      <c r="D24" s="95">
        <v>43526</v>
      </c>
      <c r="E24" s="96">
        <v>43526</v>
      </c>
      <c r="F24" s="95">
        <v>43520</v>
      </c>
      <c r="G24" s="95">
        <v>43526</v>
      </c>
      <c r="H24" s="92">
        <v>0</v>
      </c>
    </row>
    <row r="25" spans="1:8">
      <c r="A25" s="93" t="s">
        <v>996</v>
      </c>
      <c r="B25" s="94" t="s">
        <v>446</v>
      </c>
      <c r="C25" s="95" t="s">
        <v>1068</v>
      </c>
      <c r="D25" s="95">
        <v>43379</v>
      </c>
      <c r="E25" s="96">
        <v>43397</v>
      </c>
      <c r="F25" s="95">
        <v>43375</v>
      </c>
      <c r="G25" s="95">
        <v>43379</v>
      </c>
      <c r="H25" s="92">
        <v>0</v>
      </c>
    </row>
    <row r="26" spans="1:8">
      <c r="A26" s="93" t="s">
        <v>996</v>
      </c>
      <c r="B26" s="94" t="s">
        <v>446</v>
      </c>
      <c r="C26" s="95" t="s">
        <v>1055</v>
      </c>
      <c r="D26" s="95">
        <v>43379</v>
      </c>
      <c r="E26" s="96">
        <v>43397</v>
      </c>
      <c r="F26" s="95">
        <v>43375</v>
      </c>
      <c r="G26" s="95">
        <v>43379</v>
      </c>
      <c r="H26" s="92">
        <v>0</v>
      </c>
    </row>
    <row r="27" spans="1:8">
      <c r="A27" s="93" t="s">
        <v>996</v>
      </c>
      <c r="B27" s="94" t="s">
        <v>446</v>
      </c>
      <c r="C27" s="95" t="s">
        <v>1069</v>
      </c>
      <c r="D27" s="95">
        <v>43379</v>
      </c>
      <c r="E27" s="96">
        <v>43397</v>
      </c>
      <c r="F27" s="95">
        <v>43375</v>
      </c>
      <c r="G27" s="95">
        <v>43379</v>
      </c>
      <c r="H27" s="92">
        <v>0</v>
      </c>
    </row>
    <row r="28" spans="1:8">
      <c r="A28" s="93" t="s">
        <v>996</v>
      </c>
      <c r="B28" s="94" t="s">
        <v>446</v>
      </c>
      <c r="C28" s="95" t="s">
        <v>1068</v>
      </c>
      <c r="D28" s="95">
        <v>43379</v>
      </c>
      <c r="E28" s="96">
        <v>43397</v>
      </c>
      <c r="F28" s="95">
        <v>43380</v>
      </c>
      <c r="G28" s="95">
        <v>43386</v>
      </c>
      <c r="H28" s="92">
        <v>1.3333333333333333</v>
      </c>
    </row>
    <row r="29" spans="1:8">
      <c r="A29" s="93" t="s">
        <v>996</v>
      </c>
      <c r="B29" s="94" t="s">
        <v>446</v>
      </c>
      <c r="C29" s="95" t="s">
        <v>1055</v>
      </c>
      <c r="D29" s="95">
        <v>43379</v>
      </c>
      <c r="E29" s="96">
        <v>43397</v>
      </c>
      <c r="F29" s="95">
        <v>43380</v>
      </c>
      <c r="G29" s="95">
        <v>43386</v>
      </c>
      <c r="H29" s="92">
        <v>1.3333333333333333</v>
      </c>
    </row>
    <row r="30" spans="1:8">
      <c r="A30" s="93" t="s">
        <v>996</v>
      </c>
      <c r="B30" s="94" t="s">
        <v>446</v>
      </c>
      <c r="C30" s="95" t="s">
        <v>1069</v>
      </c>
      <c r="D30" s="95">
        <v>43379</v>
      </c>
      <c r="E30" s="96">
        <v>43397</v>
      </c>
      <c r="F30" s="95">
        <v>43380</v>
      </c>
      <c r="G30" s="95">
        <v>43386</v>
      </c>
      <c r="H30" s="92">
        <v>1.3333333333333333</v>
      </c>
    </row>
    <row r="31" spans="1:8">
      <c r="A31" s="93" t="s">
        <v>996</v>
      </c>
      <c r="B31" s="94" t="s">
        <v>446</v>
      </c>
      <c r="C31" s="95" t="s">
        <v>1068</v>
      </c>
      <c r="D31" s="95">
        <v>43379</v>
      </c>
      <c r="E31" s="96">
        <v>43397</v>
      </c>
      <c r="F31" s="95">
        <v>43387</v>
      </c>
      <c r="G31" s="95">
        <v>43393</v>
      </c>
      <c r="H31" s="92">
        <v>1.6666666666666667</v>
      </c>
    </row>
    <row r="32" spans="1:8">
      <c r="A32" s="93" t="s">
        <v>996</v>
      </c>
      <c r="B32" s="94" t="s">
        <v>446</v>
      </c>
      <c r="C32" s="95" t="s">
        <v>1055</v>
      </c>
      <c r="D32" s="95">
        <v>43379</v>
      </c>
      <c r="E32" s="96">
        <v>43397</v>
      </c>
      <c r="F32" s="95">
        <v>43387</v>
      </c>
      <c r="G32" s="95">
        <v>43393</v>
      </c>
      <c r="H32" s="92">
        <v>1.6666666666666667</v>
      </c>
    </row>
    <row r="33" spans="1:8">
      <c r="A33" s="93" t="s">
        <v>996</v>
      </c>
      <c r="B33" s="94" t="s">
        <v>446</v>
      </c>
      <c r="C33" s="95" t="s">
        <v>1069</v>
      </c>
      <c r="D33" s="95">
        <v>43379</v>
      </c>
      <c r="E33" s="96">
        <v>43397</v>
      </c>
      <c r="F33" s="95">
        <v>43387</v>
      </c>
      <c r="G33" s="95">
        <v>43393</v>
      </c>
      <c r="H33" s="92">
        <v>1.6666666666666667</v>
      </c>
    </row>
    <row r="34" spans="1:8">
      <c r="A34" s="93" t="s">
        <v>996</v>
      </c>
      <c r="B34" s="94" t="s">
        <v>446</v>
      </c>
      <c r="C34" s="95" t="s">
        <v>1068</v>
      </c>
      <c r="D34" s="95">
        <v>43379</v>
      </c>
      <c r="E34" s="96">
        <v>43397</v>
      </c>
      <c r="F34" s="95">
        <v>43394</v>
      </c>
      <c r="G34" s="95">
        <v>43400</v>
      </c>
      <c r="H34" s="92">
        <v>1</v>
      </c>
    </row>
    <row r="35" spans="1:8">
      <c r="A35" s="93" t="s">
        <v>996</v>
      </c>
      <c r="B35" s="94" t="s">
        <v>446</v>
      </c>
      <c r="C35" s="95" t="s">
        <v>1055</v>
      </c>
      <c r="D35" s="95">
        <v>43379</v>
      </c>
      <c r="E35" s="96">
        <v>43397</v>
      </c>
      <c r="F35" s="95">
        <v>43394</v>
      </c>
      <c r="G35" s="95">
        <v>43400</v>
      </c>
      <c r="H35" s="92">
        <v>1</v>
      </c>
    </row>
    <row r="36" spans="1:8">
      <c r="A36" s="93" t="s">
        <v>996</v>
      </c>
      <c r="B36" s="94" t="s">
        <v>446</v>
      </c>
      <c r="C36" s="95" t="s">
        <v>1069</v>
      </c>
      <c r="D36" s="95">
        <v>43379</v>
      </c>
      <c r="E36" s="96">
        <v>43397</v>
      </c>
      <c r="F36" s="95">
        <v>43394</v>
      </c>
      <c r="G36" s="95">
        <v>43400</v>
      </c>
      <c r="H36" s="92">
        <v>1</v>
      </c>
    </row>
    <row r="37" spans="1:8">
      <c r="A37" s="93" t="s">
        <v>997</v>
      </c>
      <c r="B37" s="94" t="s">
        <v>447</v>
      </c>
      <c r="C37" s="95" t="s">
        <v>1055</v>
      </c>
      <c r="D37" s="95">
        <v>43385</v>
      </c>
      <c r="E37" s="96">
        <v>43396</v>
      </c>
      <c r="F37" s="95">
        <v>43380</v>
      </c>
      <c r="G37" s="95">
        <v>43386</v>
      </c>
      <c r="H37" s="92">
        <v>1</v>
      </c>
    </row>
    <row r="38" spans="1:8">
      <c r="A38" s="93" t="s">
        <v>997</v>
      </c>
      <c r="B38" s="94" t="s">
        <v>447</v>
      </c>
      <c r="C38" s="95" t="s">
        <v>1055</v>
      </c>
      <c r="D38" s="95">
        <v>43385</v>
      </c>
      <c r="E38" s="96">
        <v>43396</v>
      </c>
      <c r="F38" s="95">
        <v>43387</v>
      </c>
      <c r="G38" s="95">
        <v>43393</v>
      </c>
      <c r="H38" s="92">
        <v>5</v>
      </c>
    </row>
    <row r="39" spans="1:8">
      <c r="A39" s="93" t="s">
        <v>997</v>
      </c>
      <c r="B39" s="94" t="s">
        <v>447</v>
      </c>
      <c r="C39" s="95" t="s">
        <v>1055</v>
      </c>
      <c r="D39" s="95">
        <v>43385</v>
      </c>
      <c r="E39" s="96">
        <v>43396</v>
      </c>
      <c r="F39" s="95">
        <v>43394</v>
      </c>
      <c r="G39" s="95">
        <v>43400</v>
      </c>
      <c r="H39" s="92">
        <v>2</v>
      </c>
    </row>
    <row r="40" spans="1:8">
      <c r="A40" s="93" t="s">
        <v>998</v>
      </c>
      <c r="B40" s="94" t="s">
        <v>448</v>
      </c>
      <c r="C40" s="95" t="s">
        <v>1055</v>
      </c>
      <c r="D40" s="95">
        <v>43385</v>
      </c>
      <c r="E40" s="96">
        <v>43396</v>
      </c>
      <c r="F40" s="95">
        <v>43380</v>
      </c>
      <c r="G40" s="95">
        <v>43386</v>
      </c>
      <c r="H40" s="92">
        <v>1</v>
      </c>
    </row>
    <row r="41" spans="1:8">
      <c r="A41" s="93" t="s">
        <v>998</v>
      </c>
      <c r="B41" s="94" t="s">
        <v>448</v>
      </c>
      <c r="C41" s="95" t="s">
        <v>1055</v>
      </c>
      <c r="D41" s="95">
        <v>43385</v>
      </c>
      <c r="E41" s="96">
        <v>43396</v>
      </c>
      <c r="F41" s="95">
        <v>43387</v>
      </c>
      <c r="G41" s="95">
        <v>43393</v>
      </c>
      <c r="H41" s="92">
        <v>5</v>
      </c>
    </row>
    <row r="42" spans="1:8">
      <c r="A42" s="93" t="s">
        <v>998</v>
      </c>
      <c r="B42" s="94" t="s">
        <v>448</v>
      </c>
      <c r="C42" s="95" t="s">
        <v>1055</v>
      </c>
      <c r="D42" s="95">
        <v>43385</v>
      </c>
      <c r="E42" s="96">
        <v>43396</v>
      </c>
      <c r="F42" s="95">
        <v>43394</v>
      </c>
      <c r="G42" s="95">
        <v>43400</v>
      </c>
      <c r="H42" s="92">
        <v>2</v>
      </c>
    </row>
    <row r="43" spans="1:8">
      <c r="A43" s="93" t="s">
        <v>999</v>
      </c>
      <c r="B43" s="94" t="s">
        <v>1008</v>
      </c>
      <c r="C43" s="95" t="s">
        <v>1057</v>
      </c>
      <c r="D43" s="95">
        <v>43399</v>
      </c>
      <c r="E43" s="96">
        <v>43417</v>
      </c>
      <c r="F43" s="95">
        <v>43394</v>
      </c>
      <c r="G43" s="95">
        <v>43400</v>
      </c>
      <c r="H43" s="92">
        <v>1</v>
      </c>
    </row>
    <row r="44" spans="1:8">
      <c r="A44" s="93" t="s">
        <v>999</v>
      </c>
      <c r="B44" s="94" t="s">
        <v>1008</v>
      </c>
      <c r="C44" s="95" t="s">
        <v>1057</v>
      </c>
      <c r="D44" s="95">
        <v>43399</v>
      </c>
      <c r="E44" s="96">
        <v>43417</v>
      </c>
      <c r="F44" s="95">
        <v>43401</v>
      </c>
      <c r="G44" s="95">
        <v>43407</v>
      </c>
      <c r="H44" s="92">
        <v>5</v>
      </c>
    </row>
    <row r="45" spans="1:8">
      <c r="A45" s="93" t="s">
        <v>999</v>
      </c>
      <c r="B45" s="94" t="s">
        <v>1008</v>
      </c>
      <c r="C45" s="95" t="s">
        <v>1057</v>
      </c>
      <c r="D45" s="95">
        <v>43399</v>
      </c>
      <c r="E45" s="96">
        <v>43417</v>
      </c>
      <c r="F45" s="95">
        <v>43408</v>
      </c>
      <c r="G45" s="95">
        <v>43414</v>
      </c>
      <c r="H45" s="92">
        <v>5</v>
      </c>
    </row>
    <row r="46" spans="1:8">
      <c r="A46" s="93" t="s">
        <v>999</v>
      </c>
      <c r="B46" s="94" t="s">
        <v>1008</v>
      </c>
      <c r="C46" s="95" t="s">
        <v>1057</v>
      </c>
      <c r="D46" s="95">
        <v>43399</v>
      </c>
      <c r="E46" s="96">
        <v>43417</v>
      </c>
      <c r="F46" s="95">
        <v>43415</v>
      </c>
      <c r="G46" s="95">
        <v>43421</v>
      </c>
      <c r="H46" s="92">
        <v>2</v>
      </c>
    </row>
    <row r="47" spans="1:8">
      <c r="A47" s="93" t="s">
        <v>1010</v>
      </c>
      <c r="B47" s="94" t="s">
        <v>1011</v>
      </c>
      <c r="C47" s="95" t="s">
        <v>1058</v>
      </c>
      <c r="D47" s="95">
        <v>43406</v>
      </c>
      <c r="E47" s="96">
        <v>43417</v>
      </c>
      <c r="F47" s="95">
        <v>43401</v>
      </c>
      <c r="G47" s="95">
        <v>43407</v>
      </c>
      <c r="H47" s="92">
        <v>1</v>
      </c>
    </row>
    <row r="48" spans="1:8">
      <c r="A48" s="93" t="s">
        <v>1010</v>
      </c>
      <c r="B48" s="94" t="s">
        <v>1011</v>
      </c>
      <c r="C48" s="95" t="s">
        <v>1058</v>
      </c>
      <c r="D48" s="95">
        <v>43406</v>
      </c>
      <c r="E48" s="96">
        <v>43417</v>
      </c>
      <c r="F48" s="95">
        <v>43408</v>
      </c>
      <c r="G48" s="95">
        <v>43414</v>
      </c>
      <c r="H48" s="92">
        <v>5</v>
      </c>
    </row>
    <row r="49" spans="1:8">
      <c r="A49" s="93" t="s">
        <v>1010</v>
      </c>
      <c r="B49" s="94" t="s">
        <v>1011</v>
      </c>
      <c r="C49" s="95" t="s">
        <v>1058</v>
      </c>
      <c r="D49" s="95">
        <v>43406</v>
      </c>
      <c r="E49" s="96">
        <v>43417</v>
      </c>
      <c r="F49" s="95">
        <v>43415</v>
      </c>
      <c r="G49" s="95">
        <v>43421</v>
      </c>
      <c r="H49" s="92">
        <v>2</v>
      </c>
    </row>
    <row r="50" spans="1:8">
      <c r="A50" s="93" t="s">
        <v>1012</v>
      </c>
      <c r="B50" s="94" t="s">
        <v>1013</v>
      </c>
      <c r="C50" s="95" t="s">
        <v>1059</v>
      </c>
      <c r="D50" s="95">
        <v>43413</v>
      </c>
      <c r="E50" s="96">
        <v>43424</v>
      </c>
      <c r="F50" s="95">
        <v>43408</v>
      </c>
      <c r="G50" s="95">
        <v>43414</v>
      </c>
      <c r="H50" s="92">
        <v>1</v>
      </c>
    </row>
    <row r="51" spans="1:8">
      <c r="A51" s="93" t="s">
        <v>1012</v>
      </c>
      <c r="B51" s="94" t="s">
        <v>1013</v>
      </c>
      <c r="C51" s="95" t="s">
        <v>1059</v>
      </c>
      <c r="D51" s="95">
        <v>43413</v>
      </c>
      <c r="E51" s="96">
        <v>43424</v>
      </c>
      <c r="F51" s="95">
        <v>43415</v>
      </c>
      <c r="G51" s="95">
        <v>43421</v>
      </c>
      <c r="H51" s="92">
        <v>5</v>
      </c>
    </row>
    <row r="52" spans="1:8">
      <c r="A52" s="93" t="s">
        <v>1012</v>
      </c>
      <c r="B52" s="94" t="s">
        <v>1013</v>
      </c>
      <c r="C52" s="95" t="s">
        <v>1059</v>
      </c>
      <c r="D52" s="95">
        <v>43413</v>
      </c>
      <c r="E52" s="96">
        <v>43424</v>
      </c>
      <c r="F52" s="95">
        <v>43422</v>
      </c>
      <c r="G52" s="95">
        <v>43428</v>
      </c>
      <c r="H52" s="92">
        <v>2</v>
      </c>
    </row>
    <row r="53" spans="1:8">
      <c r="A53" s="93" t="s">
        <v>1014</v>
      </c>
      <c r="B53" s="94" t="s">
        <v>1015</v>
      </c>
      <c r="C53" s="95" t="s">
        <v>1060</v>
      </c>
      <c r="D53" s="95">
        <v>43413</v>
      </c>
      <c r="E53" s="96">
        <v>43431</v>
      </c>
      <c r="F53" s="95">
        <v>43408</v>
      </c>
      <c r="G53" s="95">
        <v>43414</v>
      </c>
      <c r="H53" s="92">
        <v>1</v>
      </c>
    </row>
    <row r="54" spans="1:8">
      <c r="A54" s="93" t="s">
        <v>1014</v>
      </c>
      <c r="B54" s="94" t="s">
        <v>1015</v>
      </c>
      <c r="C54" s="95" t="s">
        <v>1060</v>
      </c>
      <c r="D54" s="95">
        <v>43413</v>
      </c>
      <c r="E54" s="96">
        <v>43431</v>
      </c>
      <c r="F54" s="95">
        <v>43415</v>
      </c>
      <c r="G54" s="95">
        <v>43421</v>
      </c>
      <c r="H54" s="92">
        <v>5</v>
      </c>
    </row>
    <row r="55" spans="1:8">
      <c r="A55" s="93" t="s">
        <v>1014</v>
      </c>
      <c r="B55" s="94" t="s">
        <v>1015</v>
      </c>
      <c r="C55" s="95" t="s">
        <v>1060</v>
      </c>
      <c r="D55" s="95">
        <v>43413</v>
      </c>
      <c r="E55" s="96">
        <v>43431</v>
      </c>
      <c r="F55" s="95">
        <v>43422</v>
      </c>
      <c r="G55" s="95">
        <v>43428</v>
      </c>
      <c r="H55" s="92">
        <v>5</v>
      </c>
    </row>
    <row r="56" spans="1:8">
      <c r="A56" s="93" t="s">
        <v>1014</v>
      </c>
      <c r="B56" s="94" t="s">
        <v>1015</v>
      </c>
      <c r="C56" s="95" t="s">
        <v>1060</v>
      </c>
      <c r="D56" s="95">
        <v>43413</v>
      </c>
      <c r="E56" s="96">
        <v>43431</v>
      </c>
      <c r="F56" s="95">
        <v>43429</v>
      </c>
      <c r="G56" s="95">
        <v>43435</v>
      </c>
      <c r="H56" s="92">
        <v>2</v>
      </c>
    </row>
    <row r="57" spans="1:8">
      <c r="A57" s="93" t="s">
        <v>1000</v>
      </c>
      <c r="B57" s="94" t="s">
        <v>1016</v>
      </c>
      <c r="C57" s="95" t="s">
        <v>1060</v>
      </c>
      <c r="D57" s="95">
        <v>43434</v>
      </c>
      <c r="E57" s="96">
        <v>43438</v>
      </c>
      <c r="F57" s="95">
        <v>43429</v>
      </c>
      <c r="G57" s="95">
        <v>43435</v>
      </c>
      <c r="H57" s="92">
        <v>1</v>
      </c>
    </row>
    <row r="58" spans="1:8">
      <c r="A58" s="93" t="s">
        <v>1000</v>
      </c>
      <c r="B58" s="94" t="s">
        <v>1016</v>
      </c>
      <c r="C58" s="95" t="s">
        <v>1060</v>
      </c>
      <c r="D58" s="95">
        <v>43434</v>
      </c>
      <c r="E58" s="96">
        <v>43438</v>
      </c>
      <c r="F58" s="95">
        <v>43436</v>
      </c>
      <c r="G58" s="95">
        <v>43442</v>
      </c>
      <c r="H58" s="92">
        <v>2</v>
      </c>
    </row>
    <row r="59" spans="1:8">
      <c r="A59" s="93" t="s">
        <v>1019</v>
      </c>
      <c r="B59" s="94" t="s">
        <v>1020</v>
      </c>
      <c r="C59" s="95" t="s">
        <v>1060</v>
      </c>
      <c r="D59" s="95">
        <v>43434</v>
      </c>
      <c r="E59" s="96">
        <v>43438</v>
      </c>
      <c r="F59" s="95">
        <v>43429</v>
      </c>
      <c r="G59" s="95">
        <v>43435</v>
      </c>
      <c r="H59" s="92">
        <v>1</v>
      </c>
    </row>
    <row r="60" spans="1:8">
      <c r="A60" s="93" t="s">
        <v>1019</v>
      </c>
      <c r="B60" s="94" t="s">
        <v>1020</v>
      </c>
      <c r="C60" s="95" t="s">
        <v>1060</v>
      </c>
      <c r="D60" s="95">
        <v>43434</v>
      </c>
      <c r="E60" s="96">
        <v>43438</v>
      </c>
      <c r="F60" s="95">
        <v>43436</v>
      </c>
      <c r="G60" s="95">
        <v>43442</v>
      </c>
      <c r="H60" s="92">
        <v>2</v>
      </c>
    </row>
    <row r="61" spans="1:8">
      <c r="A61" s="93" t="s">
        <v>1023</v>
      </c>
      <c r="B61" s="94" t="s">
        <v>1024</v>
      </c>
      <c r="C61" s="95" t="s">
        <v>1062</v>
      </c>
      <c r="D61" s="95">
        <v>43434</v>
      </c>
      <c r="E61" s="96">
        <v>43438</v>
      </c>
      <c r="F61" s="95">
        <v>43429</v>
      </c>
      <c r="G61" s="95">
        <v>43435</v>
      </c>
      <c r="H61" s="92">
        <v>1</v>
      </c>
    </row>
    <row r="62" spans="1:8">
      <c r="A62" s="93" t="s">
        <v>1023</v>
      </c>
      <c r="B62" s="94" t="s">
        <v>1024</v>
      </c>
      <c r="C62" s="95" t="s">
        <v>1062</v>
      </c>
      <c r="D62" s="95">
        <v>43434</v>
      </c>
      <c r="E62" s="96">
        <v>43438</v>
      </c>
      <c r="F62" s="95">
        <v>43436</v>
      </c>
      <c r="G62" s="95">
        <v>43442</v>
      </c>
      <c r="H62" s="92">
        <v>2</v>
      </c>
    </row>
    <row r="63" spans="1:8">
      <c r="A63" s="93" t="s">
        <v>1025</v>
      </c>
      <c r="B63" s="94" t="s">
        <v>1026</v>
      </c>
      <c r="C63" s="95" t="s">
        <v>1063</v>
      </c>
      <c r="D63" s="95">
        <v>43441</v>
      </c>
      <c r="E63" s="96">
        <v>43445</v>
      </c>
      <c r="F63" s="95">
        <v>43436</v>
      </c>
      <c r="G63" s="95">
        <v>43442</v>
      </c>
      <c r="H63" s="92">
        <v>1</v>
      </c>
    </row>
    <row r="64" spans="1:8">
      <c r="A64" s="93" t="s">
        <v>1025</v>
      </c>
      <c r="B64" s="94" t="s">
        <v>1026</v>
      </c>
      <c r="C64" s="95" t="s">
        <v>1063</v>
      </c>
      <c r="D64" s="95">
        <v>43441</v>
      </c>
      <c r="E64" s="96">
        <v>43445</v>
      </c>
      <c r="F64" s="95">
        <v>43443</v>
      </c>
      <c r="G64" s="95">
        <v>43449</v>
      </c>
      <c r="H64" s="92">
        <v>2</v>
      </c>
    </row>
    <row r="65" spans="1:8">
      <c r="A65" s="93" t="s">
        <v>1027</v>
      </c>
      <c r="B65" s="94" t="s">
        <v>1028</v>
      </c>
      <c r="C65" s="95" t="s">
        <v>1063</v>
      </c>
      <c r="D65" s="95">
        <v>43441</v>
      </c>
      <c r="E65" s="96">
        <v>43452</v>
      </c>
      <c r="F65" s="95">
        <v>43436</v>
      </c>
      <c r="G65" s="95">
        <v>43442</v>
      </c>
      <c r="H65" s="92">
        <v>1</v>
      </c>
    </row>
    <row r="66" spans="1:8">
      <c r="A66" s="93" t="s">
        <v>1027</v>
      </c>
      <c r="B66" s="94" t="s">
        <v>1028</v>
      </c>
      <c r="C66" s="95" t="s">
        <v>1063</v>
      </c>
      <c r="D66" s="95">
        <v>43441</v>
      </c>
      <c r="E66" s="96">
        <v>43452</v>
      </c>
      <c r="F66" s="95">
        <v>43443</v>
      </c>
      <c r="G66" s="95">
        <v>43449</v>
      </c>
      <c r="H66" s="92">
        <v>5</v>
      </c>
    </row>
    <row r="67" spans="1:8">
      <c r="A67" s="93" t="s">
        <v>1027</v>
      </c>
      <c r="B67" s="94" t="s">
        <v>1028</v>
      </c>
      <c r="C67" s="95" t="s">
        <v>1063</v>
      </c>
      <c r="D67" s="95">
        <v>43441</v>
      </c>
      <c r="E67" s="96">
        <v>43452</v>
      </c>
      <c r="F67" s="95">
        <v>43450</v>
      </c>
      <c r="G67" s="95">
        <v>43456</v>
      </c>
      <c r="H67" s="92">
        <v>2</v>
      </c>
    </row>
    <row r="68" spans="1:8">
      <c r="A68" s="93" t="s">
        <v>1029</v>
      </c>
      <c r="B68" s="94" t="s">
        <v>1030</v>
      </c>
      <c r="C68" s="95" t="s">
        <v>1062</v>
      </c>
      <c r="D68" s="95">
        <v>43434</v>
      </c>
      <c r="E68" s="96">
        <v>43493</v>
      </c>
      <c r="F68" s="95">
        <v>43429</v>
      </c>
      <c r="G68" s="95">
        <v>43435</v>
      </c>
      <c r="H68" s="92">
        <v>0.5</v>
      </c>
    </row>
    <row r="69" spans="1:8">
      <c r="A69" s="93" t="s">
        <v>1029</v>
      </c>
      <c r="B69" s="94" t="s">
        <v>1030</v>
      </c>
      <c r="C69" s="95" t="s">
        <v>1063</v>
      </c>
      <c r="D69" s="95">
        <v>43434</v>
      </c>
      <c r="E69" s="96">
        <v>43493</v>
      </c>
      <c r="F69" s="95">
        <v>43429</v>
      </c>
      <c r="G69" s="95">
        <v>43435</v>
      </c>
      <c r="H69" s="92">
        <v>0.5</v>
      </c>
    </row>
    <row r="70" spans="1:8">
      <c r="A70" s="93" t="s">
        <v>1029</v>
      </c>
      <c r="B70" s="94" t="s">
        <v>1030</v>
      </c>
      <c r="C70" s="95" t="s">
        <v>1062</v>
      </c>
      <c r="D70" s="95">
        <v>43434</v>
      </c>
      <c r="E70" s="96">
        <v>43493</v>
      </c>
      <c r="F70" s="95">
        <v>43436</v>
      </c>
      <c r="G70" s="95">
        <v>43442</v>
      </c>
      <c r="H70" s="92">
        <v>2.5</v>
      </c>
    </row>
    <row r="71" spans="1:8">
      <c r="A71" s="93" t="s">
        <v>1029</v>
      </c>
      <c r="B71" s="94" t="s">
        <v>1030</v>
      </c>
      <c r="C71" s="95" t="s">
        <v>1063</v>
      </c>
      <c r="D71" s="95">
        <v>43434</v>
      </c>
      <c r="E71" s="96">
        <v>43493</v>
      </c>
      <c r="F71" s="95">
        <v>43436</v>
      </c>
      <c r="G71" s="95">
        <v>43442</v>
      </c>
      <c r="H71" s="92">
        <v>2.5</v>
      </c>
    </row>
    <row r="72" spans="1:8">
      <c r="A72" s="93" t="s">
        <v>1029</v>
      </c>
      <c r="B72" s="94" t="s">
        <v>1030</v>
      </c>
      <c r="C72" s="95" t="s">
        <v>1062</v>
      </c>
      <c r="D72" s="95">
        <v>43434</v>
      </c>
      <c r="E72" s="96">
        <v>43493</v>
      </c>
      <c r="F72" s="95">
        <v>43443</v>
      </c>
      <c r="G72" s="95">
        <v>43449</v>
      </c>
      <c r="H72" s="92">
        <v>2.5</v>
      </c>
    </row>
    <row r="73" spans="1:8">
      <c r="A73" s="93" t="s">
        <v>1029</v>
      </c>
      <c r="B73" s="94" t="s">
        <v>1030</v>
      </c>
      <c r="C73" s="95" t="s">
        <v>1063</v>
      </c>
      <c r="D73" s="95">
        <v>43434</v>
      </c>
      <c r="E73" s="96">
        <v>43493</v>
      </c>
      <c r="F73" s="95">
        <v>43443</v>
      </c>
      <c r="G73" s="95">
        <v>43449</v>
      </c>
      <c r="H73" s="92">
        <v>2.5</v>
      </c>
    </row>
    <row r="74" spans="1:8">
      <c r="A74" s="93" t="s">
        <v>1029</v>
      </c>
      <c r="B74" s="94" t="s">
        <v>1030</v>
      </c>
      <c r="C74" s="95" t="s">
        <v>1062</v>
      </c>
      <c r="D74" s="95">
        <v>43434</v>
      </c>
      <c r="E74" s="96">
        <v>43493</v>
      </c>
      <c r="F74" s="95">
        <v>43450</v>
      </c>
      <c r="G74" s="95">
        <v>43456</v>
      </c>
      <c r="H74" s="92">
        <v>2.5</v>
      </c>
    </row>
    <row r="75" spans="1:8">
      <c r="A75" s="93" t="s">
        <v>1029</v>
      </c>
      <c r="B75" s="94" t="s">
        <v>1030</v>
      </c>
      <c r="C75" s="95" t="s">
        <v>1063</v>
      </c>
      <c r="D75" s="95">
        <v>43434</v>
      </c>
      <c r="E75" s="96">
        <v>43493</v>
      </c>
      <c r="F75" s="95">
        <v>43450</v>
      </c>
      <c r="G75" s="95">
        <v>43456</v>
      </c>
      <c r="H75" s="92">
        <v>2.5</v>
      </c>
    </row>
    <row r="76" spans="1:8">
      <c r="A76" s="93" t="s">
        <v>1029</v>
      </c>
      <c r="B76" s="94" t="s">
        <v>1030</v>
      </c>
      <c r="C76" s="95" t="s">
        <v>1062</v>
      </c>
      <c r="D76" s="95">
        <v>43434</v>
      </c>
      <c r="E76" s="96">
        <v>43493</v>
      </c>
      <c r="F76" s="95">
        <v>43457</v>
      </c>
      <c r="G76" s="95">
        <v>43463</v>
      </c>
      <c r="H76" s="92">
        <v>2</v>
      </c>
    </row>
    <row r="77" spans="1:8">
      <c r="A77" s="93" t="s">
        <v>1029</v>
      </c>
      <c r="B77" s="94" t="s">
        <v>1030</v>
      </c>
      <c r="C77" s="95" t="s">
        <v>1063</v>
      </c>
      <c r="D77" s="95">
        <v>43434</v>
      </c>
      <c r="E77" s="96">
        <v>43493</v>
      </c>
      <c r="F77" s="95">
        <v>43457</v>
      </c>
      <c r="G77" s="95">
        <v>43463</v>
      </c>
      <c r="H77" s="92">
        <v>2</v>
      </c>
    </row>
    <row r="78" spans="1:8">
      <c r="A78" s="93" t="s">
        <v>1029</v>
      </c>
      <c r="B78" s="94" t="s">
        <v>1030</v>
      </c>
      <c r="C78" s="95" t="s">
        <v>1062</v>
      </c>
      <c r="D78" s="95">
        <v>43434</v>
      </c>
      <c r="E78" s="96">
        <v>43493</v>
      </c>
      <c r="F78" s="95">
        <v>43464</v>
      </c>
      <c r="G78" s="95">
        <v>43470</v>
      </c>
      <c r="H78" s="92">
        <v>2</v>
      </c>
    </row>
    <row r="79" spans="1:8">
      <c r="A79" s="93" t="s">
        <v>1029</v>
      </c>
      <c r="B79" s="94" t="s">
        <v>1030</v>
      </c>
      <c r="C79" s="95" t="s">
        <v>1063</v>
      </c>
      <c r="D79" s="95">
        <v>43434</v>
      </c>
      <c r="E79" s="96">
        <v>43493</v>
      </c>
      <c r="F79" s="95">
        <v>43464</v>
      </c>
      <c r="G79" s="95">
        <v>43470</v>
      </c>
      <c r="H79" s="92">
        <v>2</v>
      </c>
    </row>
    <row r="80" spans="1:8">
      <c r="A80" s="93" t="s">
        <v>1029</v>
      </c>
      <c r="B80" s="94" t="s">
        <v>1030</v>
      </c>
      <c r="C80" s="95" t="s">
        <v>1062</v>
      </c>
      <c r="D80" s="95">
        <v>43434</v>
      </c>
      <c r="E80" s="96">
        <v>43493</v>
      </c>
      <c r="F80" s="95">
        <v>43471</v>
      </c>
      <c r="G80" s="95">
        <v>43477</v>
      </c>
      <c r="H80" s="92">
        <v>2.5</v>
      </c>
    </row>
    <row r="81" spans="1:8">
      <c r="A81" s="93" t="s">
        <v>1029</v>
      </c>
      <c r="B81" s="94" t="s">
        <v>1030</v>
      </c>
      <c r="C81" s="95" t="s">
        <v>1063</v>
      </c>
      <c r="D81" s="95">
        <v>43434</v>
      </c>
      <c r="E81" s="96">
        <v>43493</v>
      </c>
      <c r="F81" s="95">
        <v>43471</v>
      </c>
      <c r="G81" s="95">
        <v>43477</v>
      </c>
      <c r="H81" s="92">
        <v>2.5</v>
      </c>
    </row>
    <row r="82" spans="1:8">
      <c r="A82" s="93" t="s">
        <v>1029</v>
      </c>
      <c r="B82" s="94" t="s">
        <v>1030</v>
      </c>
      <c r="C82" s="95" t="s">
        <v>1062</v>
      </c>
      <c r="D82" s="95">
        <v>43434</v>
      </c>
      <c r="E82" s="96">
        <v>43493</v>
      </c>
      <c r="F82" s="95">
        <v>43478</v>
      </c>
      <c r="G82" s="95">
        <v>43484</v>
      </c>
      <c r="H82" s="92">
        <v>2.5</v>
      </c>
    </row>
    <row r="83" spans="1:8">
      <c r="A83" s="93" t="s">
        <v>1029</v>
      </c>
      <c r="B83" s="94" t="s">
        <v>1030</v>
      </c>
      <c r="C83" s="95" t="s">
        <v>1063</v>
      </c>
      <c r="D83" s="95">
        <v>43434</v>
      </c>
      <c r="E83" s="96">
        <v>43493</v>
      </c>
      <c r="F83" s="95">
        <v>43478</v>
      </c>
      <c r="G83" s="95">
        <v>43484</v>
      </c>
      <c r="H83" s="92">
        <v>2.5</v>
      </c>
    </row>
    <row r="84" spans="1:8">
      <c r="A84" s="93" t="s">
        <v>1029</v>
      </c>
      <c r="B84" s="94" t="s">
        <v>1030</v>
      </c>
      <c r="C84" s="95" t="s">
        <v>1062</v>
      </c>
      <c r="D84" s="95">
        <v>43434</v>
      </c>
      <c r="E84" s="96">
        <v>43493</v>
      </c>
      <c r="F84" s="95">
        <v>43485</v>
      </c>
      <c r="G84" s="95">
        <v>43491</v>
      </c>
      <c r="H84" s="92">
        <v>2.5</v>
      </c>
    </row>
    <row r="85" spans="1:8">
      <c r="A85" s="93" t="s">
        <v>1029</v>
      </c>
      <c r="B85" s="94" t="s">
        <v>1030</v>
      </c>
      <c r="C85" s="95" t="s">
        <v>1063</v>
      </c>
      <c r="D85" s="95">
        <v>43434</v>
      </c>
      <c r="E85" s="96">
        <v>43493</v>
      </c>
      <c r="F85" s="95">
        <v>43485</v>
      </c>
      <c r="G85" s="95">
        <v>43491</v>
      </c>
      <c r="H85" s="92">
        <v>2.5</v>
      </c>
    </row>
    <row r="86" spans="1:8">
      <c r="A86" s="93" t="s">
        <v>1029</v>
      </c>
      <c r="B86" s="94" t="s">
        <v>1030</v>
      </c>
      <c r="C86" s="95" t="s">
        <v>1062</v>
      </c>
      <c r="D86" s="95">
        <v>43434</v>
      </c>
      <c r="E86" s="96">
        <v>43493</v>
      </c>
      <c r="F86" s="95">
        <v>43492</v>
      </c>
      <c r="G86" s="95">
        <v>43498</v>
      </c>
      <c r="H86" s="92">
        <v>0.5</v>
      </c>
    </row>
    <row r="87" spans="1:8">
      <c r="A87" s="93" t="s">
        <v>1029</v>
      </c>
      <c r="B87" s="94" t="s">
        <v>1030</v>
      </c>
      <c r="C87" s="95" t="s">
        <v>1063</v>
      </c>
      <c r="D87" s="95">
        <v>43434</v>
      </c>
      <c r="E87" s="96">
        <v>43493</v>
      </c>
      <c r="F87" s="95">
        <v>43492</v>
      </c>
      <c r="G87" s="95">
        <v>43498</v>
      </c>
      <c r="H87" s="92">
        <v>0.5</v>
      </c>
    </row>
    <row r="88" spans="1:8">
      <c r="A88" s="93" t="s">
        <v>1031</v>
      </c>
      <c r="B88" s="94" t="s">
        <v>1032</v>
      </c>
      <c r="C88" s="95" t="s">
        <v>1062</v>
      </c>
      <c r="D88" s="95">
        <v>43434</v>
      </c>
      <c r="E88" s="96">
        <v>43493</v>
      </c>
      <c r="F88" s="95">
        <v>43429</v>
      </c>
      <c r="G88" s="95">
        <v>43435</v>
      </c>
      <c r="H88" s="92">
        <v>1</v>
      </c>
    </row>
    <row r="89" spans="1:8">
      <c r="A89" s="93" t="s">
        <v>1031</v>
      </c>
      <c r="B89" s="94" t="s">
        <v>1032</v>
      </c>
      <c r="C89" s="95" t="s">
        <v>1062</v>
      </c>
      <c r="D89" s="95">
        <v>43434</v>
      </c>
      <c r="E89" s="96">
        <v>43493</v>
      </c>
      <c r="F89" s="95">
        <v>43436</v>
      </c>
      <c r="G89" s="95">
        <v>43442</v>
      </c>
      <c r="H89" s="92">
        <v>5</v>
      </c>
    </row>
    <row r="90" spans="1:8">
      <c r="A90" s="93" t="s">
        <v>1031</v>
      </c>
      <c r="B90" s="94" t="s">
        <v>1032</v>
      </c>
      <c r="C90" s="95" t="s">
        <v>1062</v>
      </c>
      <c r="D90" s="95">
        <v>43434</v>
      </c>
      <c r="E90" s="96">
        <v>43493</v>
      </c>
      <c r="F90" s="95">
        <v>43443</v>
      </c>
      <c r="G90" s="95">
        <v>43449</v>
      </c>
      <c r="H90" s="92">
        <v>5</v>
      </c>
    </row>
    <row r="91" spans="1:8">
      <c r="A91" s="93" t="s">
        <v>1031</v>
      </c>
      <c r="B91" s="94" t="s">
        <v>1032</v>
      </c>
      <c r="C91" s="95" t="s">
        <v>1062</v>
      </c>
      <c r="D91" s="95">
        <v>43434</v>
      </c>
      <c r="E91" s="96">
        <v>43493</v>
      </c>
      <c r="F91" s="95">
        <v>43450</v>
      </c>
      <c r="G91" s="95">
        <v>43456</v>
      </c>
      <c r="H91" s="92">
        <v>5</v>
      </c>
    </row>
    <row r="92" spans="1:8">
      <c r="A92" s="93" t="s">
        <v>1031</v>
      </c>
      <c r="B92" s="94" t="s">
        <v>1032</v>
      </c>
      <c r="C92" s="95" t="s">
        <v>1062</v>
      </c>
      <c r="D92" s="95">
        <v>43434</v>
      </c>
      <c r="E92" s="96">
        <v>43493</v>
      </c>
      <c r="F92" s="95">
        <v>43457</v>
      </c>
      <c r="G92" s="95">
        <v>43463</v>
      </c>
      <c r="H92" s="92">
        <v>4</v>
      </c>
    </row>
    <row r="93" spans="1:8">
      <c r="A93" s="93" t="s">
        <v>1031</v>
      </c>
      <c r="B93" s="94" t="s">
        <v>1032</v>
      </c>
      <c r="C93" s="95" t="s">
        <v>1062</v>
      </c>
      <c r="D93" s="95">
        <v>43434</v>
      </c>
      <c r="E93" s="96">
        <v>43493</v>
      </c>
      <c r="F93" s="95">
        <v>43464</v>
      </c>
      <c r="G93" s="95">
        <v>43470</v>
      </c>
      <c r="H93" s="92">
        <v>4</v>
      </c>
    </row>
    <row r="94" spans="1:8">
      <c r="A94" s="93" t="s">
        <v>1031</v>
      </c>
      <c r="B94" s="94" t="s">
        <v>1032</v>
      </c>
      <c r="C94" s="95" t="s">
        <v>1062</v>
      </c>
      <c r="D94" s="95">
        <v>43434</v>
      </c>
      <c r="E94" s="96">
        <v>43493</v>
      </c>
      <c r="F94" s="95">
        <v>43471</v>
      </c>
      <c r="G94" s="95">
        <v>43477</v>
      </c>
      <c r="H94" s="92">
        <v>5</v>
      </c>
    </row>
    <row r="95" spans="1:8">
      <c r="A95" s="93" t="s">
        <v>1031</v>
      </c>
      <c r="B95" s="94" t="s">
        <v>1032</v>
      </c>
      <c r="C95" s="95" t="s">
        <v>1062</v>
      </c>
      <c r="D95" s="95">
        <v>43434</v>
      </c>
      <c r="E95" s="96">
        <v>43493</v>
      </c>
      <c r="F95" s="95">
        <v>43478</v>
      </c>
      <c r="G95" s="95">
        <v>43484</v>
      </c>
      <c r="H95" s="92">
        <v>5</v>
      </c>
    </row>
    <row r="96" spans="1:8">
      <c r="A96" s="93" t="s">
        <v>1031</v>
      </c>
      <c r="B96" s="94" t="s">
        <v>1032</v>
      </c>
      <c r="C96" s="95" t="s">
        <v>1062</v>
      </c>
      <c r="D96" s="95">
        <v>43434</v>
      </c>
      <c r="E96" s="96">
        <v>43493</v>
      </c>
      <c r="F96" s="95">
        <v>43485</v>
      </c>
      <c r="G96" s="95">
        <v>43491</v>
      </c>
      <c r="H96" s="92">
        <v>5</v>
      </c>
    </row>
    <row r="97" spans="1:8">
      <c r="A97" s="93" t="s">
        <v>1031</v>
      </c>
      <c r="B97" s="94" t="s">
        <v>1032</v>
      </c>
      <c r="C97" s="95" t="s">
        <v>1062</v>
      </c>
      <c r="D97" s="95">
        <v>43434</v>
      </c>
      <c r="E97" s="96">
        <v>43493</v>
      </c>
      <c r="F97" s="95">
        <v>43492</v>
      </c>
      <c r="G97" s="95">
        <v>43498</v>
      </c>
      <c r="H97" s="92">
        <v>1</v>
      </c>
    </row>
    <row r="98" spans="1:8">
      <c r="A98" s="93" t="s">
        <v>1033</v>
      </c>
      <c r="B98" s="94" t="s">
        <v>1034</v>
      </c>
      <c r="C98" s="95" t="s">
        <v>1063</v>
      </c>
      <c r="D98" s="95">
        <v>43448</v>
      </c>
      <c r="E98" s="96">
        <v>43493</v>
      </c>
      <c r="F98" s="95">
        <v>43443</v>
      </c>
      <c r="G98" s="95">
        <v>43449</v>
      </c>
      <c r="H98" s="92">
        <v>1</v>
      </c>
    </row>
    <row r="99" spans="1:8">
      <c r="A99" s="93" t="s">
        <v>1033</v>
      </c>
      <c r="B99" s="94" t="s">
        <v>1034</v>
      </c>
      <c r="C99" s="95" t="s">
        <v>1063</v>
      </c>
      <c r="D99" s="95">
        <v>43448</v>
      </c>
      <c r="E99" s="96">
        <v>43493</v>
      </c>
      <c r="F99" s="95">
        <v>43450</v>
      </c>
      <c r="G99" s="95">
        <v>43456</v>
      </c>
      <c r="H99" s="92">
        <v>5</v>
      </c>
    </row>
    <row r="100" spans="1:8">
      <c r="A100" s="93" t="s">
        <v>1033</v>
      </c>
      <c r="B100" s="94" t="s">
        <v>1034</v>
      </c>
      <c r="C100" s="95" t="s">
        <v>1063</v>
      </c>
      <c r="D100" s="95">
        <v>43448</v>
      </c>
      <c r="E100" s="96">
        <v>43493</v>
      </c>
      <c r="F100" s="95">
        <v>43457</v>
      </c>
      <c r="G100" s="95">
        <v>43463</v>
      </c>
      <c r="H100" s="92">
        <v>4</v>
      </c>
    </row>
    <row r="101" spans="1:8">
      <c r="A101" s="93" t="s">
        <v>1033</v>
      </c>
      <c r="B101" s="94" t="s">
        <v>1034</v>
      </c>
      <c r="C101" s="95" t="s">
        <v>1063</v>
      </c>
      <c r="D101" s="95">
        <v>43448</v>
      </c>
      <c r="E101" s="96">
        <v>43493</v>
      </c>
      <c r="F101" s="95">
        <v>43464</v>
      </c>
      <c r="G101" s="95">
        <v>43470</v>
      </c>
      <c r="H101" s="92">
        <v>4</v>
      </c>
    </row>
    <row r="102" spans="1:8">
      <c r="A102" s="93" t="s">
        <v>1033</v>
      </c>
      <c r="B102" s="94" t="s">
        <v>1034</v>
      </c>
      <c r="C102" s="95" t="s">
        <v>1063</v>
      </c>
      <c r="D102" s="95">
        <v>43448</v>
      </c>
      <c r="E102" s="96">
        <v>43493</v>
      </c>
      <c r="F102" s="95">
        <v>43471</v>
      </c>
      <c r="G102" s="95">
        <v>43477</v>
      </c>
      <c r="H102" s="92">
        <v>5</v>
      </c>
    </row>
    <row r="103" spans="1:8">
      <c r="A103" s="93" t="s">
        <v>1033</v>
      </c>
      <c r="B103" s="94" t="s">
        <v>1034</v>
      </c>
      <c r="C103" s="95" t="s">
        <v>1063</v>
      </c>
      <c r="D103" s="95">
        <v>43448</v>
      </c>
      <c r="E103" s="96">
        <v>43493</v>
      </c>
      <c r="F103" s="95">
        <v>43478</v>
      </c>
      <c r="G103" s="95">
        <v>43484</v>
      </c>
      <c r="H103" s="92">
        <v>5</v>
      </c>
    </row>
    <row r="104" spans="1:8">
      <c r="A104" s="93" t="s">
        <v>1033</v>
      </c>
      <c r="B104" s="94" t="s">
        <v>1034</v>
      </c>
      <c r="C104" s="95" t="s">
        <v>1063</v>
      </c>
      <c r="D104" s="95">
        <v>43448</v>
      </c>
      <c r="E104" s="96">
        <v>43493</v>
      </c>
      <c r="F104" s="95">
        <v>43485</v>
      </c>
      <c r="G104" s="95">
        <v>43491</v>
      </c>
      <c r="H104" s="92">
        <v>5</v>
      </c>
    </row>
    <row r="105" spans="1:8">
      <c r="A105" s="93" t="s">
        <v>1033</v>
      </c>
      <c r="B105" s="94" t="s">
        <v>1034</v>
      </c>
      <c r="C105" s="95" t="s">
        <v>1063</v>
      </c>
      <c r="D105" s="95">
        <v>43448</v>
      </c>
      <c r="E105" s="96">
        <v>43493</v>
      </c>
      <c r="F105" s="95">
        <v>43492</v>
      </c>
      <c r="G105" s="95">
        <v>43498</v>
      </c>
      <c r="H105" s="92">
        <v>1</v>
      </c>
    </row>
    <row r="106" spans="1:8">
      <c r="A106" s="93" t="s">
        <v>1036</v>
      </c>
      <c r="B106" s="94" t="s">
        <v>1037</v>
      </c>
      <c r="C106" s="95" t="s">
        <v>1060</v>
      </c>
      <c r="D106" s="95">
        <v>43476</v>
      </c>
      <c r="E106" s="96">
        <v>43494</v>
      </c>
      <c r="F106" s="95">
        <v>43471</v>
      </c>
      <c r="G106" s="95">
        <v>43477</v>
      </c>
      <c r="H106" s="92">
        <v>1</v>
      </c>
    </row>
    <row r="107" spans="1:8">
      <c r="A107" s="93" t="s">
        <v>1036</v>
      </c>
      <c r="B107" s="94" t="s">
        <v>1037</v>
      </c>
      <c r="C107" s="95" t="s">
        <v>1060</v>
      </c>
      <c r="D107" s="95">
        <v>43476</v>
      </c>
      <c r="E107" s="96">
        <v>43494</v>
      </c>
      <c r="F107" s="95">
        <v>43478</v>
      </c>
      <c r="G107" s="95">
        <v>43484</v>
      </c>
      <c r="H107" s="92">
        <v>5</v>
      </c>
    </row>
    <row r="108" spans="1:8">
      <c r="A108" s="93" t="s">
        <v>1036</v>
      </c>
      <c r="B108" s="94" t="s">
        <v>1037</v>
      </c>
      <c r="C108" s="95" t="s">
        <v>1060</v>
      </c>
      <c r="D108" s="95">
        <v>43476</v>
      </c>
      <c r="E108" s="96">
        <v>43494</v>
      </c>
      <c r="F108" s="95">
        <v>43485</v>
      </c>
      <c r="G108" s="95">
        <v>43491</v>
      </c>
      <c r="H108" s="92">
        <v>5</v>
      </c>
    </row>
    <row r="109" spans="1:8">
      <c r="A109" s="93" t="s">
        <v>1036</v>
      </c>
      <c r="B109" s="94" t="s">
        <v>1037</v>
      </c>
      <c r="C109" s="95" t="s">
        <v>1060</v>
      </c>
      <c r="D109" s="95">
        <v>43476</v>
      </c>
      <c r="E109" s="96">
        <v>43494</v>
      </c>
      <c r="F109" s="95">
        <v>43492</v>
      </c>
      <c r="G109" s="95">
        <v>43498</v>
      </c>
      <c r="H109" s="92">
        <v>2</v>
      </c>
    </row>
    <row r="110" spans="1:8">
      <c r="A110" s="93" t="s">
        <v>1038</v>
      </c>
      <c r="B110" s="94" t="s">
        <v>1039</v>
      </c>
      <c r="C110" s="95" t="s">
        <v>1060</v>
      </c>
      <c r="D110" s="95">
        <v>43497</v>
      </c>
      <c r="E110" s="96">
        <v>43501</v>
      </c>
      <c r="F110" s="95">
        <v>43492</v>
      </c>
      <c r="G110" s="95">
        <v>43498</v>
      </c>
      <c r="H110" s="92">
        <v>1</v>
      </c>
    </row>
    <row r="111" spans="1:8">
      <c r="A111" s="93" t="s">
        <v>1038</v>
      </c>
      <c r="B111" s="94" t="s">
        <v>1039</v>
      </c>
      <c r="C111" s="95" t="s">
        <v>1060</v>
      </c>
      <c r="D111" s="95">
        <v>43497</v>
      </c>
      <c r="E111" s="96">
        <v>43501</v>
      </c>
      <c r="F111" s="95">
        <v>43499</v>
      </c>
      <c r="G111" s="95">
        <v>43505</v>
      </c>
      <c r="H111" s="92">
        <v>0</v>
      </c>
    </row>
    <row r="112" spans="1:8">
      <c r="A112" s="93" t="s">
        <v>1042</v>
      </c>
      <c r="B112" s="94" t="s">
        <v>1043</v>
      </c>
      <c r="C112" s="95" t="s">
        <v>1060</v>
      </c>
      <c r="D112" s="95">
        <v>43497</v>
      </c>
      <c r="E112" s="96">
        <v>43499</v>
      </c>
      <c r="F112" s="95">
        <v>43492</v>
      </c>
      <c r="G112" s="95">
        <v>43498</v>
      </c>
      <c r="H112" s="92">
        <v>1</v>
      </c>
    </row>
    <row r="113" spans="1:8">
      <c r="A113" s="93" t="s">
        <v>1042</v>
      </c>
      <c r="B113" s="94" t="s">
        <v>1043</v>
      </c>
      <c r="C113" s="95" t="s">
        <v>1060</v>
      </c>
      <c r="D113" s="95">
        <v>43497</v>
      </c>
      <c r="E113" s="96">
        <v>43499</v>
      </c>
      <c r="F113" s="95">
        <v>43499</v>
      </c>
      <c r="G113" s="95">
        <v>43505</v>
      </c>
      <c r="H113" s="92">
        <v>0</v>
      </c>
    </row>
    <row r="114" spans="1:8">
      <c r="A114" s="93" t="s">
        <v>1045</v>
      </c>
      <c r="B114" s="94" t="s">
        <v>1046</v>
      </c>
      <c r="C114" s="95" t="s">
        <v>1060</v>
      </c>
      <c r="D114" s="95">
        <v>43501</v>
      </c>
      <c r="E114" s="96">
        <v>43503</v>
      </c>
      <c r="F114" s="95">
        <v>43499</v>
      </c>
      <c r="G114" s="95">
        <v>43505</v>
      </c>
      <c r="H114" s="92">
        <v>0.5</v>
      </c>
    </row>
    <row r="115" spans="1:8">
      <c r="A115" s="93" t="s">
        <v>1045</v>
      </c>
      <c r="B115" s="94" t="s">
        <v>1046</v>
      </c>
      <c r="C115" s="95" t="s">
        <v>1059</v>
      </c>
      <c r="D115" s="95">
        <v>43501</v>
      </c>
      <c r="E115" s="96">
        <v>43503</v>
      </c>
      <c r="F115" s="95">
        <v>43499</v>
      </c>
      <c r="G115" s="95">
        <v>43505</v>
      </c>
      <c r="H115" s="92">
        <v>0.5</v>
      </c>
    </row>
    <row r="116" spans="1:8">
      <c r="A116" s="93" t="s">
        <v>1047</v>
      </c>
      <c r="B116" s="94" t="s">
        <v>1048</v>
      </c>
      <c r="C116" s="95" t="s">
        <v>1060</v>
      </c>
      <c r="D116" s="95">
        <v>43501</v>
      </c>
      <c r="E116" s="96">
        <v>43503</v>
      </c>
      <c r="F116" s="95">
        <v>43499</v>
      </c>
      <c r="G116" s="95">
        <v>43505</v>
      </c>
      <c r="H116" s="92">
        <v>0.5</v>
      </c>
    </row>
    <row r="117" spans="1:8">
      <c r="A117" s="93" t="s">
        <v>1047</v>
      </c>
      <c r="B117" s="94" t="s">
        <v>1048</v>
      </c>
      <c r="C117" s="95" t="s">
        <v>1062</v>
      </c>
      <c r="D117" s="95">
        <v>43501</v>
      </c>
      <c r="E117" s="96">
        <v>43503</v>
      </c>
      <c r="F117" s="95">
        <v>43499</v>
      </c>
      <c r="G117" s="95">
        <v>43505</v>
      </c>
      <c r="H117" s="92">
        <v>0.5</v>
      </c>
    </row>
    <row r="118" spans="1:8">
      <c r="A118" s="93" t="s">
        <v>1049</v>
      </c>
      <c r="B118" s="94" t="s">
        <v>1050</v>
      </c>
      <c r="C118" s="95" t="s">
        <v>1060</v>
      </c>
      <c r="D118" s="95">
        <v>43501</v>
      </c>
      <c r="E118" s="96">
        <v>43503</v>
      </c>
      <c r="F118" s="95">
        <v>43499</v>
      </c>
      <c r="G118" s="95">
        <v>43505</v>
      </c>
      <c r="H118" s="92">
        <v>0.5</v>
      </c>
    </row>
    <row r="119" spans="1:8">
      <c r="A119" s="93" t="s">
        <v>1049</v>
      </c>
      <c r="B119" s="94" t="s">
        <v>1050</v>
      </c>
      <c r="C119" s="95" t="s">
        <v>1062</v>
      </c>
      <c r="D119" s="95">
        <v>43501</v>
      </c>
      <c r="E119" s="96">
        <v>43503</v>
      </c>
      <c r="F119" s="95">
        <v>43499</v>
      </c>
      <c r="G119" s="95">
        <v>43505</v>
      </c>
      <c r="H119" s="92">
        <v>0.5</v>
      </c>
    </row>
    <row r="120" spans="1:8">
      <c r="A120" s="93" t="s">
        <v>1051</v>
      </c>
      <c r="B120" s="94" t="s">
        <v>1052</v>
      </c>
      <c r="C120" s="95" t="s">
        <v>1060</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GG130"/>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outlineLevelRow="5"/>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8" hidden="1" customWidth="1"/>
    <col min="16" max="16" width="6" style="9" bestFit="1" customWidth="1"/>
    <col min="17" max="17" width="5.375" style="9" bestFit="1" customWidth="1"/>
    <col min="18" max="18" width="8.375" style="10" hidden="1" customWidth="1"/>
    <col min="19" max="19" width="4.25" style="10" hidden="1" customWidth="1"/>
    <col min="20" max="20" width="13.125" style="7" hidden="1" customWidth="1"/>
    <col min="21" max="21" width="13.625" style="7" hidden="1" customWidth="1"/>
    <col min="22" max="22" width="8.375" style="11" hidden="1" customWidth="1"/>
    <col min="23" max="23" width="6.625" style="12" hidden="1" customWidth="1"/>
    <col min="24" max="24" width="4.75" style="13" customWidth="1"/>
    <col min="25" max="25" width="9.25" style="8" customWidth="1"/>
    <col min="26" max="26" width="11.5" style="14" customWidth="1"/>
    <col min="27" max="27" width="7" style="15" customWidth="1"/>
    <col min="28" max="28" width="7.125" style="16" customWidth="1"/>
    <col min="29" max="189" width="1.875" style="114" customWidth="1"/>
    <col min="190" max="16384" width="10" style="114"/>
  </cols>
  <sheetData>
    <row r="1" spans="1:189" s="158" customFormat="1" ht="20.100000000000001" customHeight="1">
      <c r="A1" s="141"/>
      <c r="B1" s="151"/>
      <c r="C1" s="142"/>
      <c r="D1" s="143" t="str">
        <f ca="1">xlgantt.ProjectName()</f>
        <v>OOO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2018-10-02~2019-03-02 [계획:4.18% 실적:8.32%]</v>
      </c>
      <c r="AC1" s="237" t="s">
        <v>1110</v>
      </c>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row>
    <row r="2" spans="1:189" s="158" customFormat="1" ht="15" customHeight="1">
      <c r="A2" s="159"/>
      <c r="B2" s="159"/>
      <c r="C2" s="160"/>
      <c r="D2" s="223"/>
      <c r="E2" s="223"/>
      <c r="F2" s="223"/>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1126</v>
      </c>
    </row>
    <row r="3" spans="1:189" s="1" customFormat="1" ht="20.100000000000001" customHeight="1">
      <c r="A3" s="227" t="s">
        <v>1183</v>
      </c>
      <c r="B3" s="224" t="s">
        <v>1184</v>
      </c>
      <c r="C3" s="230" t="s">
        <v>1148</v>
      </c>
      <c r="D3" s="231" t="s">
        <v>1162</v>
      </c>
      <c r="E3" s="232" t="s">
        <v>1163</v>
      </c>
      <c r="F3" s="233"/>
      <c r="G3" s="233"/>
      <c r="H3" s="233"/>
      <c r="I3" s="233"/>
      <c r="J3" s="233"/>
      <c r="K3" s="234"/>
      <c r="L3" s="218" t="s">
        <v>1156</v>
      </c>
      <c r="M3" s="218" t="s">
        <v>1157</v>
      </c>
      <c r="N3" s="218" t="s">
        <v>1164</v>
      </c>
      <c r="O3" s="225" t="s">
        <v>1158</v>
      </c>
      <c r="P3" s="226" t="s">
        <v>1142</v>
      </c>
      <c r="Q3" s="226" t="s">
        <v>1188</v>
      </c>
      <c r="R3" s="226" t="s">
        <v>1149</v>
      </c>
      <c r="S3" s="226" t="s">
        <v>1159</v>
      </c>
      <c r="T3" s="217" t="s">
        <v>1165</v>
      </c>
      <c r="U3" s="217" t="s">
        <v>1160</v>
      </c>
      <c r="V3" s="219" t="s">
        <v>1166</v>
      </c>
      <c r="W3" s="220" t="s">
        <v>1167</v>
      </c>
      <c r="X3" s="221" t="s">
        <v>1143</v>
      </c>
      <c r="Y3" s="218" t="s">
        <v>1127</v>
      </c>
      <c r="Z3" s="224" t="s">
        <v>1185</v>
      </c>
      <c r="AA3" s="222" t="s">
        <v>1189</v>
      </c>
      <c r="AB3" s="216" t="s">
        <v>1150</v>
      </c>
      <c r="AC3" s="235">
        <v>43373</v>
      </c>
      <c r="AD3" s="236"/>
      <c r="AE3" s="236"/>
      <c r="AF3" s="236"/>
      <c r="AG3" s="236">
        <v>43401</v>
      </c>
      <c r="AH3" s="236"/>
      <c r="AI3" s="236"/>
      <c r="AJ3" s="236"/>
      <c r="AK3" s="236">
        <v>43429</v>
      </c>
      <c r="AL3" s="236"/>
      <c r="AM3" s="236"/>
      <c r="AN3" s="236"/>
      <c r="AO3" s="236">
        <v>43457</v>
      </c>
      <c r="AP3" s="236"/>
      <c r="AQ3" s="236"/>
      <c r="AR3" s="236"/>
      <c r="AS3" s="236">
        <v>43485</v>
      </c>
      <c r="AT3" s="236"/>
      <c r="AU3" s="236"/>
      <c r="AV3" s="236"/>
      <c r="AW3" s="236">
        <v>43513</v>
      </c>
      <c r="AX3" s="236"/>
      <c r="AY3" s="236"/>
      <c r="AZ3" s="238"/>
    </row>
    <row r="4" spans="1:189" s="2" customFormat="1" ht="5.0999999999999996" customHeight="1">
      <c r="A4" s="228"/>
      <c r="B4" s="229"/>
      <c r="C4" s="227"/>
      <c r="D4" s="231"/>
      <c r="E4" s="232"/>
      <c r="F4" s="233"/>
      <c r="G4" s="233"/>
      <c r="H4" s="233"/>
      <c r="I4" s="233"/>
      <c r="J4" s="233"/>
      <c r="K4" s="234"/>
      <c r="L4" s="218"/>
      <c r="M4" s="218"/>
      <c r="N4" s="218"/>
      <c r="O4" s="225"/>
      <c r="P4" s="226"/>
      <c r="Q4" s="226"/>
      <c r="R4" s="226"/>
      <c r="S4" s="226"/>
      <c r="T4" s="218"/>
      <c r="U4" s="218"/>
      <c r="V4" s="219"/>
      <c r="W4" s="220"/>
      <c r="X4" s="221"/>
      <c r="Y4" s="218"/>
      <c r="Z4" s="224"/>
      <c r="AA4" s="222"/>
      <c r="AB4" s="216"/>
      <c r="AC4" s="112">
        <v>43373</v>
      </c>
      <c r="AD4" s="113">
        <v>43380</v>
      </c>
      <c r="AE4" s="113">
        <v>43387</v>
      </c>
      <c r="AF4" s="113">
        <v>43394</v>
      </c>
      <c r="AG4" s="113">
        <v>43401</v>
      </c>
      <c r="AH4" s="113">
        <v>43408</v>
      </c>
      <c r="AI4" s="113">
        <v>43415</v>
      </c>
      <c r="AJ4" s="113">
        <v>43422</v>
      </c>
      <c r="AK4" s="113">
        <v>43429</v>
      </c>
      <c r="AL4" s="113">
        <v>43436</v>
      </c>
      <c r="AM4" s="113">
        <v>43443</v>
      </c>
      <c r="AN4" s="113">
        <v>43450</v>
      </c>
      <c r="AO4" s="113">
        <v>43457</v>
      </c>
      <c r="AP4" s="113">
        <v>43464</v>
      </c>
      <c r="AQ4" s="113">
        <v>43471</v>
      </c>
      <c r="AR4" s="113">
        <v>43478</v>
      </c>
      <c r="AS4" s="113">
        <v>43485</v>
      </c>
      <c r="AT4" s="113">
        <v>43492</v>
      </c>
      <c r="AU4" s="113">
        <v>43499</v>
      </c>
      <c r="AV4" s="113">
        <v>43506</v>
      </c>
      <c r="AW4" s="113">
        <v>43513</v>
      </c>
      <c r="AX4" s="113">
        <v>43520</v>
      </c>
      <c r="AY4" s="113">
        <v>43527</v>
      </c>
      <c r="AZ4" s="115"/>
      <c r="BA4" s="121"/>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c r="FF4" s="122"/>
      <c r="FG4" s="122"/>
      <c r="FH4" s="122"/>
      <c r="FI4" s="122"/>
      <c r="FJ4" s="122"/>
      <c r="FK4" s="122"/>
      <c r="FL4" s="122"/>
      <c r="FM4" s="122"/>
      <c r="FN4" s="122"/>
      <c r="FO4" s="122"/>
      <c r="FP4" s="122"/>
      <c r="FQ4" s="122"/>
      <c r="FR4" s="122"/>
      <c r="FS4" s="122"/>
      <c r="FT4" s="122"/>
      <c r="FU4" s="122"/>
      <c r="FV4" s="122"/>
      <c r="FW4" s="122"/>
      <c r="FX4" s="122"/>
      <c r="FY4" s="122"/>
      <c r="FZ4" s="122"/>
      <c r="GA4" s="122"/>
      <c r="GB4" s="122"/>
      <c r="GC4" s="122"/>
      <c r="GD4" s="122"/>
      <c r="GE4" s="122"/>
      <c r="GF4" s="122"/>
      <c r="GG4" s="122"/>
    </row>
    <row r="5" spans="1:189">
      <c r="A5" s="116"/>
      <c r="B5" s="116" t="s">
        <v>1087</v>
      </c>
      <c r="C5" s="116">
        <v>1</v>
      </c>
      <c r="D5" s="3" t="s">
        <v>1088</v>
      </c>
      <c r="E5" s="184" t="s">
        <v>538</v>
      </c>
      <c r="F5" s="184"/>
      <c r="G5" s="184"/>
      <c r="H5" s="184"/>
      <c r="I5" s="184"/>
      <c r="J5" s="184"/>
      <c r="K5" s="184"/>
      <c r="L5" s="184"/>
      <c r="M5" s="185">
        <v>43375</v>
      </c>
      <c r="N5" s="185">
        <v>43526</v>
      </c>
      <c r="O5" s="186"/>
      <c r="P5" s="187">
        <v>44</v>
      </c>
      <c r="Q5" s="187">
        <v>5</v>
      </c>
      <c r="R5" s="188">
        <v>101</v>
      </c>
      <c r="S5" s="188">
        <v>7</v>
      </c>
      <c r="T5" s="185"/>
      <c r="U5" s="185"/>
      <c r="V5" s="189">
        <v>0</v>
      </c>
      <c r="W5" s="190">
        <v>0</v>
      </c>
      <c r="X5" s="191"/>
      <c r="Y5" s="186"/>
      <c r="Z5" s="192"/>
      <c r="AA5" s="97">
        <v>0.11363636363636363</v>
      </c>
      <c r="AB5" s="193">
        <v>0.11363636363636363</v>
      </c>
      <c r="AC5" s="123"/>
      <c r="AD5" s="4"/>
      <c r="AE5" s="4" t="str">
        <f>"     " &amp; TEXT(AB5,"#0.00%") &amp; " "</f>
        <v xml:space="preserve">     11.36% </v>
      </c>
      <c r="AF5" s="4"/>
      <c r="AG5" s="4"/>
      <c r="AH5" s="4"/>
      <c r="AI5" s="4"/>
      <c r="AJ5" s="4"/>
      <c r="AK5" s="4"/>
      <c r="AL5" s="4"/>
      <c r="AM5" s="4"/>
      <c r="AN5" s="4"/>
      <c r="AO5" s="4"/>
      <c r="AP5" s="4"/>
      <c r="AQ5" s="4"/>
      <c r="AR5" s="4"/>
      <c r="AS5" s="4"/>
      <c r="AT5" s="4"/>
      <c r="AU5" s="4"/>
      <c r="AV5" s="4"/>
      <c r="AW5" s="4"/>
      <c r="AX5" s="4"/>
      <c r="AY5" s="4" t="str">
        <f>"" &amp; "프로젝트 관리" &amp; " " &amp; IF(M5="","",TEXT(M5,"M/D-")) &amp; IF(N5="","",TEXT(N5,"M/D")) &amp; " "</f>
        <v xml:space="preserve">프로젝트 관리 10/2-3/2 </v>
      </c>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row>
    <row r="6" spans="1:189" outlineLevel="1">
      <c r="A6" s="116"/>
      <c r="B6" s="116" t="s">
        <v>1087</v>
      </c>
      <c r="C6" s="116">
        <v>2</v>
      </c>
      <c r="D6" s="3" t="s">
        <v>1089</v>
      </c>
      <c r="E6" s="184"/>
      <c r="F6" s="184" t="s">
        <v>913</v>
      </c>
      <c r="G6" s="184"/>
      <c r="H6" s="184"/>
      <c r="I6" s="184"/>
      <c r="J6" s="184"/>
      <c r="K6" s="184"/>
      <c r="L6" s="184"/>
      <c r="M6" s="185">
        <v>43375</v>
      </c>
      <c r="N6" s="185">
        <v>43397</v>
      </c>
      <c r="O6" s="186"/>
      <c r="P6" s="187">
        <v>6</v>
      </c>
      <c r="Q6" s="187">
        <v>5</v>
      </c>
      <c r="R6" s="188">
        <v>15</v>
      </c>
      <c r="S6" s="188">
        <v>7</v>
      </c>
      <c r="T6" s="185"/>
      <c r="U6" s="185"/>
      <c r="V6" s="189">
        <v>0</v>
      </c>
      <c r="W6" s="190">
        <v>0</v>
      </c>
      <c r="X6" s="191"/>
      <c r="Y6" s="186"/>
      <c r="Z6" s="192"/>
      <c r="AA6" s="97">
        <v>0.83333333333333337</v>
      </c>
      <c r="AB6" s="193">
        <v>0.83333333333333337</v>
      </c>
      <c r="AC6" s="123"/>
      <c r="AD6" s="4"/>
      <c r="AE6" s="4"/>
      <c r="AF6" s="4" t="str">
        <f>"" &amp; TEXT(AB6,"#0.00%") &amp; " " &amp; "프로젝트 착수 및 계획수립" &amp; " " &amp; IF(M6="","",TEXT(M6,"M/D-")) &amp; IF(N6="","",TEXT(N6,"M/D")) &amp; " "</f>
        <v xml:space="preserve">83.33% 프로젝트 착수 및 계획수립 10/2-10/24 </v>
      </c>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row>
    <row r="7" spans="1:189" outlineLevel="2">
      <c r="A7" s="116"/>
      <c r="B7" s="116"/>
      <c r="C7" s="116">
        <v>3</v>
      </c>
      <c r="D7" s="3" t="s">
        <v>990</v>
      </c>
      <c r="E7" s="184"/>
      <c r="F7" s="184"/>
      <c r="G7" s="184" t="s">
        <v>0</v>
      </c>
      <c r="H7" s="184"/>
      <c r="I7" s="184"/>
      <c r="J7" s="184"/>
      <c r="K7" s="184"/>
      <c r="L7" s="184"/>
      <c r="M7" s="185">
        <v>43375</v>
      </c>
      <c r="N7" s="185">
        <v>43376</v>
      </c>
      <c r="O7" s="186"/>
      <c r="P7" s="187">
        <v>1</v>
      </c>
      <c r="Q7" s="187">
        <v>1</v>
      </c>
      <c r="R7" s="188">
        <v>1</v>
      </c>
      <c r="S7" s="188">
        <v>1</v>
      </c>
      <c r="T7" s="185">
        <v>43305</v>
      </c>
      <c r="U7" s="185">
        <v>43306</v>
      </c>
      <c r="V7" s="189">
        <v>2</v>
      </c>
      <c r="W7" s="190">
        <v>2</v>
      </c>
      <c r="X7" s="191">
        <v>1</v>
      </c>
      <c r="Y7" s="186" t="s">
        <v>995</v>
      </c>
      <c r="Z7" s="192"/>
      <c r="AA7" s="97">
        <v>1</v>
      </c>
      <c r="AB7" s="193">
        <v>1</v>
      </c>
      <c r="AC7" s="123" t="str">
        <f>"    " &amp; TEXT(AB7,"#0.00%") &amp; " " &amp; "프로젝트 착수" &amp; "(홍길동)" &amp; " " &amp; IF(M7="","",TEXT(M7,"M/D-")) &amp; IF(N7="","",TEXT(N7,"M/D")) &amp; " "</f>
        <v xml:space="preserve">    100.00% 프로젝트 착수(홍길동) 10/2-10/3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row>
    <row r="8" spans="1:189" outlineLevel="2">
      <c r="A8" s="116"/>
      <c r="B8" s="116" t="s">
        <v>1087</v>
      </c>
      <c r="C8" s="116">
        <v>3</v>
      </c>
      <c r="D8" s="3" t="s">
        <v>1090</v>
      </c>
      <c r="E8" s="184"/>
      <c r="F8" s="184"/>
      <c r="G8" s="184" t="s">
        <v>914</v>
      </c>
      <c r="H8" s="184"/>
      <c r="I8" s="184"/>
      <c r="J8" s="184"/>
      <c r="K8" s="184"/>
      <c r="L8" s="184"/>
      <c r="M8" s="185">
        <v>43379</v>
      </c>
      <c r="N8" s="185">
        <v>43397</v>
      </c>
      <c r="O8" s="186"/>
      <c r="P8" s="187">
        <v>5</v>
      </c>
      <c r="Q8" s="187">
        <v>4</v>
      </c>
      <c r="R8" s="188">
        <v>12</v>
      </c>
      <c r="S8" s="188">
        <v>4</v>
      </c>
      <c r="T8" s="185"/>
      <c r="U8" s="185"/>
      <c r="V8" s="189">
        <v>0</v>
      </c>
      <c r="W8" s="190">
        <v>0</v>
      </c>
      <c r="X8" s="191"/>
      <c r="Y8" s="186" t="s">
        <v>1002</v>
      </c>
      <c r="Z8" s="192"/>
      <c r="AA8" s="97">
        <v>0.8</v>
      </c>
      <c r="AB8" s="193">
        <v>0.8</v>
      </c>
      <c r="AC8" s="123"/>
      <c r="AD8" s="4"/>
      <c r="AE8" s="4"/>
      <c r="AF8" s="4" t="str">
        <f>"" &amp; TEXT(AB8,"#0.00%") &amp; " " &amp; "프로젝트 범위정의" &amp; "(홍길동,김길동,이길동)" &amp; " " &amp; IF(M8="","",TEXT(M8,"M/D-")) &amp; IF(N8="","",TEXT(N8,"M/D")) &amp; " "</f>
        <v xml:space="preserve">80.00% 프로젝트 범위정의(홍길동,김길동,이길동) 10/6-10/24 </v>
      </c>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row>
    <row r="9" spans="1:189" outlineLevel="3">
      <c r="A9" s="116"/>
      <c r="B9" s="116"/>
      <c r="C9" s="116">
        <v>4</v>
      </c>
      <c r="D9" s="3" t="s">
        <v>449</v>
      </c>
      <c r="E9" s="184"/>
      <c r="F9" s="184"/>
      <c r="G9" s="184"/>
      <c r="H9" s="184" t="s">
        <v>427</v>
      </c>
      <c r="I9" s="184"/>
      <c r="J9" s="184"/>
      <c r="K9" s="184"/>
      <c r="L9" s="184"/>
      <c r="M9" s="185">
        <v>43379</v>
      </c>
      <c r="N9" s="185">
        <v>43385</v>
      </c>
      <c r="O9" s="186"/>
      <c r="P9" s="187">
        <v>4</v>
      </c>
      <c r="Q9" s="187">
        <v>4</v>
      </c>
      <c r="R9" s="188">
        <v>4</v>
      </c>
      <c r="S9" s="188">
        <v>4</v>
      </c>
      <c r="T9" s="185">
        <v>43309</v>
      </c>
      <c r="U9" s="185">
        <v>43315</v>
      </c>
      <c r="V9" s="189">
        <v>5</v>
      </c>
      <c r="W9" s="190">
        <v>5</v>
      </c>
      <c r="X9" s="191">
        <v>1</v>
      </c>
      <c r="Y9" s="186" t="s">
        <v>1002</v>
      </c>
      <c r="Z9" s="192" t="s">
        <v>1053</v>
      </c>
      <c r="AA9" s="97">
        <v>1</v>
      </c>
      <c r="AB9" s="193">
        <v>1</v>
      </c>
      <c r="AC9" s="123"/>
      <c r="AD9" s="4" t="str">
        <f>"      " &amp; TEXT(AB9,"#0.00%") &amp; " " &amp; "프로젝트 계획 수립" &amp; "(홍길동,김길동,이길동)" &amp; " " &amp; IF(M9="","",TEXT(M9,"M/D-")) &amp; IF(N9="","",TEXT(N9,"M/D")) &amp; " "</f>
        <v xml:space="preserve">      100.00% 프로젝트 계획 수립(홍길동,김길동,이길동) 10/6-10/12 </v>
      </c>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row>
    <row r="10" spans="1:189" outlineLevel="3">
      <c r="A10" s="116"/>
      <c r="B10" s="116"/>
      <c r="C10" s="116">
        <v>4</v>
      </c>
      <c r="D10" s="3" t="s">
        <v>450</v>
      </c>
      <c r="E10" s="184"/>
      <c r="F10" s="184"/>
      <c r="G10" s="184"/>
      <c r="H10" s="184" t="s">
        <v>438</v>
      </c>
      <c r="I10" s="184"/>
      <c r="J10" s="184"/>
      <c r="K10" s="184"/>
      <c r="L10" s="184"/>
      <c r="M10" s="185">
        <v>43397</v>
      </c>
      <c r="N10" s="185">
        <v>43397</v>
      </c>
      <c r="O10" s="186"/>
      <c r="P10" s="187">
        <v>1</v>
      </c>
      <c r="Q10" s="187">
        <v>0</v>
      </c>
      <c r="R10" s="188">
        <v>1</v>
      </c>
      <c r="S10" s="188">
        <v>0</v>
      </c>
      <c r="T10" s="185"/>
      <c r="U10" s="185"/>
      <c r="V10" s="189"/>
      <c r="W10" s="190">
        <v>0</v>
      </c>
      <c r="X10" s="191">
        <v>1</v>
      </c>
      <c r="Y10" s="186" t="s">
        <v>995</v>
      </c>
      <c r="Z10" s="192"/>
      <c r="AA10" s="97">
        <v>0</v>
      </c>
      <c r="AB10" s="193">
        <v>0</v>
      </c>
      <c r="AC10" s="123"/>
      <c r="AD10" s="4"/>
      <c r="AE10" s="4"/>
      <c r="AF10" s="4" t="str">
        <f>"   " &amp; TEXT(AB10,"#0.00%") &amp; " " &amp; "착수보고(Kick off)" &amp; "(홍길동)" &amp; " " &amp; IF(M10="","",TEXT(M10,"M/D-")) &amp; IF(N10="","",TEXT(N10,"M/D")) &amp; " "</f>
        <v xml:space="preserve">   0.00% 착수보고(Kick off)(홍길동) 10/24-10/24 </v>
      </c>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row>
    <row r="11" spans="1:189" outlineLevel="1">
      <c r="A11" s="116"/>
      <c r="B11" s="116" t="s">
        <v>1087</v>
      </c>
      <c r="C11" s="116">
        <v>2</v>
      </c>
      <c r="D11" s="3" t="s">
        <v>1091</v>
      </c>
      <c r="E11" s="184"/>
      <c r="F11" s="184" t="s">
        <v>993</v>
      </c>
      <c r="G11" s="184"/>
      <c r="H11" s="184"/>
      <c r="I11" s="184"/>
      <c r="J11" s="184"/>
      <c r="K11" s="184"/>
      <c r="L11" s="184"/>
      <c r="M11" s="185">
        <v>43397</v>
      </c>
      <c r="N11" s="185">
        <v>43493</v>
      </c>
      <c r="O11" s="186"/>
      <c r="P11" s="187">
        <v>23</v>
      </c>
      <c r="Q11" s="187">
        <v>0</v>
      </c>
      <c r="R11" s="188">
        <v>67</v>
      </c>
      <c r="S11" s="188">
        <v>0</v>
      </c>
      <c r="T11" s="185"/>
      <c r="U11" s="185"/>
      <c r="V11" s="189">
        <v>0</v>
      </c>
      <c r="W11" s="190">
        <v>0</v>
      </c>
      <c r="X11" s="191"/>
      <c r="Y11" s="186"/>
      <c r="Z11" s="192"/>
      <c r="AA11" s="97">
        <v>0</v>
      </c>
      <c r="AB11" s="193">
        <v>0</v>
      </c>
      <c r="AC11" s="123"/>
      <c r="AD11" s="4"/>
      <c r="AE11" s="4"/>
      <c r="AF11" s="4" t="str">
        <f>"   " &amp; TEXT(AB11,"#0.00%") &amp; " "</f>
        <v xml:space="preserve">   0.00% </v>
      </c>
      <c r="AG11" s="4"/>
      <c r="AH11" s="4"/>
      <c r="AI11" s="4"/>
      <c r="AJ11" s="4"/>
      <c r="AK11" s="4"/>
      <c r="AL11" s="4"/>
      <c r="AM11" s="4"/>
      <c r="AN11" s="4"/>
      <c r="AO11" s="4"/>
      <c r="AP11" s="4"/>
      <c r="AQ11" s="4"/>
      <c r="AR11" s="4"/>
      <c r="AS11" s="4"/>
      <c r="AT11" s="4" t="str">
        <f>"  " &amp; "프로젝트 수행 및 통제" &amp; " " &amp; IF(M11="","",TEXT(M11,"M/D-")) &amp; IF(N11="","",TEXT(N11,"M/D")) &amp; " "</f>
        <v xml:space="preserve">  프로젝트 수행 및 통제 10/24-1/28 </v>
      </c>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row>
    <row r="12" spans="1:189" outlineLevel="2">
      <c r="A12" s="116"/>
      <c r="B12" s="116"/>
      <c r="C12" s="116">
        <v>3</v>
      </c>
      <c r="D12" s="3" t="s">
        <v>431</v>
      </c>
      <c r="E12" s="184"/>
      <c r="F12" s="184"/>
      <c r="G12" s="184" t="s">
        <v>439</v>
      </c>
      <c r="H12" s="184"/>
      <c r="I12" s="184"/>
      <c r="J12" s="184"/>
      <c r="K12" s="184"/>
      <c r="L12" s="184"/>
      <c r="M12" s="185">
        <v>43400</v>
      </c>
      <c r="N12" s="185">
        <v>43404</v>
      </c>
      <c r="O12" s="186"/>
      <c r="P12" s="187">
        <v>3</v>
      </c>
      <c r="Q12" s="187">
        <v>0</v>
      </c>
      <c r="R12" s="188">
        <v>3</v>
      </c>
      <c r="S12" s="188">
        <v>0</v>
      </c>
      <c r="T12" s="185">
        <v>43330</v>
      </c>
      <c r="U12" s="185">
        <v>43334</v>
      </c>
      <c r="V12" s="189">
        <v>3</v>
      </c>
      <c r="W12" s="190">
        <v>3</v>
      </c>
      <c r="X12" s="191">
        <v>1</v>
      </c>
      <c r="Y12" s="186" t="s">
        <v>991</v>
      </c>
      <c r="Z12" s="192"/>
      <c r="AA12" s="97">
        <v>0</v>
      </c>
      <c r="AB12" s="193">
        <v>0</v>
      </c>
      <c r="AC12" s="123"/>
      <c r="AD12" s="4"/>
      <c r="AE12" s="4"/>
      <c r="AF12" s="4" t="str">
        <f>"      " &amp; TEXT(AB12,"#0.00%") &amp; " " &amp; "월간보고1" &amp; "(김길동)" &amp; " " &amp; IF(M12="","",TEXT(M12,"M/D-")) &amp; IF(N12="","",TEXT(N12,"M/D")) &amp; " "</f>
        <v xml:space="preserve">      0.00% 월간보고1(김길동) 10/27-10/31 </v>
      </c>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row>
    <row r="13" spans="1:189" outlineLevel="2">
      <c r="A13" s="116"/>
      <c r="B13" s="116"/>
      <c r="C13" s="116">
        <v>3</v>
      </c>
      <c r="D13" s="3" t="s">
        <v>432</v>
      </c>
      <c r="E13" s="184"/>
      <c r="F13" s="184"/>
      <c r="G13" s="184" t="s">
        <v>440</v>
      </c>
      <c r="H13" s="184"/>
      <c r="I13" s="184"/>
      <c r="J13" s="184"/>
      <c r="K13" s="184"/>
      <c r="L13" s="184"/>
      <c r="M13" s="185">
        <v>43432</v>
      </c>
      <c r="N13" s="185">
        <v>43432</v>
      </c>
      <c r="O13" s="186"/>
      <c r="P13" s="187">
        <v>1</v>
      </c>
      <c r="Q13" s="187">
        <v>0</v>
      </c>
      <c r="R13" s="188">
        <v>1</v>
      </c>
      <c r="S13" s="188">
        <v>0</v>
      </c>
      <c r="T13" s="185"/>
      <c r="U13" s="185"/>
      <c r="V13" s="189"/>
      <c r="W13" s="190">
        <v>0</v>
      </c>
      <c r="X13" s="191">
        <v>1</v>
      </c>
      <c r="Y13" s="186" t="s">
        <v>991</v>
      </c>
      <c r="Z13" s="192"/>
      <c r="AA13" s="97">
        <v>0</v>
      </c>
      <c r="AB13" s="193">
        <v>0</v>
      </c>
      <c r="AC13" s="123"/>
      <c r="AD13" s="4"/>
      <c r="AE13" s="4"/>
      <c r="AF13" s="4"/>
      <c r="AG13" s="4"/>
      <c r="AH13" s="4"/>
      <c r="AI13" s="4"/>
      <c r="AJ13" s="4"/>
      <c r="AK13" s="4" t="str">
        <f>"   " &amp; TEXT(AB13,"#0.00%") &amp; " " &amp; "월간보고2" &amp; "(김길동)" &amp; " " &amp; IF(M13="","",TEXT(M13,"M/D-")) &amp; IF(N13="","",TEXT(N13,"M/D")) &amp; " "</f>
        <v xml:space="preserve">   0.00% 월간보고2(김길동) 11/28-11/28 </v>
      </c>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row>
    <row r="14" spans="1:189" outlineLevel="2">
      <c r="A14" s="116"/>
      <c r="B14" s="116"/>
      <c r="C14" s="116">
        <v>3</v>
      </c>
      <c r="D14" s="3" t="s">
        <v>433</v>
      </c>
      <c r="E14" s="184"/>
      <c r="F14" s="184"/>
      <c r="G14" s="184" t="s">
        <v>441</v>
      </c>
      <c r="H14" s="184"/>
      <c r="I14" s="184"/>
      <c r="J14" s="184"/>
      <c r="K14" s="184"/>
      <c r="L14" s="184"/>
      <c r="M14" s="185">
        <v>43468</v>
      </c>
      <c r="N14" s="185">
        <v>43493</v>
      </c>
      <c r="O14" s="186"/>
      <c r="P14" s="187">
        <v>18</v>
      </c>
      <c r="Q14" s="187">
        <v>0</v>
      </c>
      <c r="R14" s="188">
        <v>18</v>
      </c>
      <c r="S14" s="188">
        <v>0</v>
      </c>
      <c r="T14" s="185"/>
      <c r="U14" s="185"/>
      <c r="V14" s="189"/>
      <c r="W14" s="190">
        <v>0</v>
      </c>
      <c r="X14" s="191">
        <v>1</v>
      </c>
      <c r="Y14" s="186"/>
      <c r="Z14" s="192"/>
      <c r="AA14" s="97">
        <v>0</v>
      </c>
      <c r="AB14" s="193">
        <v>0</v>
      </c>
      <c r="AC14" s="123"/>
      <c r="AD14" s="4"/>
      <c r="AE14" s="4"/>
      <c r="AF14" s="4"/>
      <c r="AG14" s="4"/>
      <c r="AH14" s="4"/>
      <c r="AI14" s="4"/>
      <c r="AJ14" s="4"/>
      <c r="AK14" s="4"/>
      <c r="AL14" s="4"/>
      <c r="AM14" s="4"/>
      <c r="AN14" s="4"/>
      <c r="AO14" s="4"/>
      <c r="AP14" s="4" t="str">
        <f>"    " &amp; TEXT(AB14,"#0.00%") &amp; " "</f>
        <v xml:space="preserve">    0.00% </v>
      </c>
      <c r="AQ14" s="4"/>
      <c r="AR14" s="4"/>
      <c r="AS14" s="4"/>
      <c r="AT14" s="4" t="str">
        <f>"  " &amp; "월간보고3" &amp; " " &amp; IF(M14="","",TEXT(M14,"M/D-")) &amp; IF(N14="","",TEXT(N14,"M/D")) &amp; " "</f>
        <v xml:space="preserve">  월간보고3 1/3-1/28 </v>
      </c>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row>
    <row r="15" spans="1:189" outlineLevel="2">
      <c r="A15" s="116"/>
      <c r="B15" s="116"/>
      <c r="C15" s="116">
        <v>3</v>
      </c>
      <c r="D15" s="3" t="s">
        <v>434</v>
      </c>
      <c r="E15" s="184"/>
      <c r="F15" s="184"/>
      <c r="G15" s="184" t="s">
        <v>1003</v>
      </c>
      <c r="H15" s="184"/>
      <c r="I15" s="184"/>
      <c r="J15" s="184"/>
      <c r="K15" s="184"/>
      <c r="L15" s="184"/>
      <c r="M15" s="185">
        <v>43397</v>
      </c>
      <c r="N15" s="185">
        <v>43397</v>
      </c>
      <c r="O15" s="186"/>
      <c r="P15" s="187">
        <v>1</v>
      </c>
      <c r="Q15" s="187">
        <v>0</v>
      </c>
      <c r="R15" s="188">
        <v>1</v>
      </c>
      <c r="S15" s="188">
        <v>0</v>
      </c>
      <c r="T15" s="185"/>
      <c r="U15" s="185"/>
      <c r="V15" s="189"/>
      <c r="W15" s="190">
        <v>0</v>
      </c>
      <c r="X15" s="191">
        <v>1</v>
      </c>
      <c r="Y15" s="186"/>
      <c r="Z15" s="192"/>
      <c r="AA15" s="97">
        <v>0</v>
      </c>
      <c r="AB15" s="193">
        <v>0</v>
      </c>
      <c r="AC15" s="123"/>
      <c r="AD15" s="4"/>
      <c r="AE15" s="4"/>
      <c r="AF15" s="4" t="str">
        <f>"   " &amp; TEXT(AB15,"#0.00%") &amp; " " &amp; "중간보고" &amp; " " &amp; IF(M15="","",TEXT(M15,"M/D-")) &amp; IF(N15="","",TEXT(N15,"M/D")) &amp; " "</f>
        <v xml:space="preserve">   0.00% 중간보고 10/24-10/24 </v>
      </c>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row>
    <row r="16" spans="1:189" outlineLevel="2">
      <c r="A16" s="116"/>
      <c r="B16" s="116"/>
      <c r="C16" s="116">
        <v>0</v>
      </c>
      <c r="D16" s="3"/>
      <c r="E16" s="184"/>
      <c r="F16" s="184"/>
      <c r="G16" s="184"/>
      <c r="H16" s="184"/>
      <c r="I16" s="184"/>
      <c r="J16" s="184"/>
      <c r="K16" s="184"/>
      <c r="L16" s="184"/>
      <c r="M16" s="185"/>
      <c r="N16" s="185"/>
      <c r="O16" s="186"/>
      <c r="P16" s="187"/>
      <c r="Q16" s="187"/>
      <c r="R16" s="188">
        <v>0</v>
      </c>
      <c r="S16" s="188">
        <v>0</v>
      </c>
      <c r="T16" s="185"/>
      <c r="U16" s="185"/>
      <c r="V16" s="189"/>
      <c r="W16" s="190">
        <v>0</v>
      </c>
      <c r="X16" s="191"/>
      <c r="Y16" s="186"/>
      <c r="Z16" s="192"/>
      <c r="AA16" s="97"/>
      <c r="AB16" s="193"/>
      <c r="AC16" s="123"/>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row>
    <row r="17" spans="1:189" outlineLevel="1">
      <c r="A17" s="116"/>
      <c r="B17" s="116" t="s">
        <v>1087</v>
      </c>
      <c r="C17" s="116">
        <v>2</v>
      </c>
      <c r="D17" s="3" t="s">
        <v>1092</v>
      </c>
      <c r="E17" s="184"/>
      <c r="F17" s="184" t="s">
        <v>994</v>
      </c>
      <c r="G17" s="184"/>
      <c r="H17" s="184"/>
      <c r="I17" s="184"/>
      <c r="J17" s="184"/>
      <c r="K17" s="184"/>
      <c r="L17" s="184"/>
      <c r="M17" s="185">
        <v>43501</v>
      </c>
      <c r="N17" s="185">
        <v>43526</v>
      </c>
      <c r="O17" s="186"/>
      <c r="P17" s="187">
        <v>15</v>
      </c>
      <c r="Q17" s="187">
        <v>0</v>
      </c>
      <c r="R17" s="188">
        <v>16</v>
      </c>
      <c r="S17" s="188">
        <v>0</v>
      </c>
      <c r="T17" s="185"/>
      <c r="U17" s="185"/>
      <c r="V17" s="189">
        <v>0</v>
      </c>
      <c r="W17" s="190">
        <v>0</v>
      </c>
      <c r="X17" s="191"/>
      <c r="Y17" s="186"/>
      <c r="Z17" s="192"/>
      <c r="AA17" s="97">
        <v>0</v>
      </c>
      <c r="AB17" s="193">
        <v>0</v>
      </c>
      <c r="AC17" s="123"/>
      <c r="AD17" s="4"/>
      <c r="AE17" s="4"/>
      <c r="AF17" s="4"/>
      <c r="AG17" s="4"/>
      <c r="AH17" s="4"/>
      <c r="AI17" s="4"/>
      <c r="AJ17" s="4"/>
      <c r="AK17" s="4"/>
      <c r="AL17" s="4"/>
      <c r="AM17" s="4"/>
      <c r="AN17" s="4"/>
      <c r="AO17" s="4"/>
      <c r="AP17" s="4"/>
      <c r="AQ17" s="4"/>
      <c r="AR17" s="4"/>
      <c r="AS17" s="4"/>
      <c r="AT17" s="4"/>
      <c r="AU17" s="4" t="str">
        <f>"  " &amp; TEXT(AB17,"#0.00%") &amp; " "</f>
        <v xml:space="preserve">  0.00% </v>
      </c>
      <c r="AV17" s="4"/>
      <c r="AW17" s="4"/>
      <c r="AX17" s="4"/>
      <c r="AY17" s="4" t="str">
        <f>"" &amp; "프로젝트 종료" &amp; " " &amp; IF(M17="","",TEXT(M17,"M/D-")) &amp; IF(N17="","",TEXT(N17,"M/D")) &amp; " "</f>
        <v xml:space="preserve">프로젝트 종료 2/5-3/2 </v>
      </c>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row>
    <row r="18" spans="1:189" outlineLevel="2">
      <c r="A18" s="116"/>
      <c r="B18" s="116"/>
      <c r="C18" s="116">
        <v>3</v>
      </c>
      <c r="D18" s="3" t="s">
        <v>435</v>
      </c>
      <c r="E18" s="184"/>
      <c r="F18" s="184"/>
      <c r="G18" s="184" t="s">
        <v>442</v>
      </c>
      <c r="H18" s="184"/>
      <c r="I18" s="184"/>
      <c r="J18" s="184"/>
      <c r="K18" s="184"/>
      <c r="L18" s="184"/>
      <c r="M18" s="185">
        <v>43501</v>
      </c>
      <c r="N18" s="185">
        <v>43505</v>
      </c>
      <c r="O18" s="186"/>
      <c r="P18" s="187">
        <v>2</v>
      </c>
      <c r="Q18" s="187">
        <v>0</v>
      </c>
      <c r="R18" s="188">
        <v>2</v>
      </c>
      <c r="S18" s="188">
        <v>0</v>
      </c>
      <c r="T18" s="185"/>
      <c r="U18" s="185"/>
      <c r="V18" s="189"/>
      <c r="W18" s="190">
        <v>0</v>
      </c>
      <c r="X18" s="191">
        <v>1</v>
      </c>
      <c r="Y18" s="186" t="s">
        <v>995</v>
      </c>
      <c r="Z18" s="192"/>
      <c r="AA18" s="97">
        <v>0</v>
      </c>
      <c r="AB18" s="193">
        <v>0</v>
      </c>
      <c r="AC18" s="123"/>
      <c r="AD18" s="4"/>
      <c r="AE18" s="4"/>
      <c r="AF18" s="4"/>
      <c r="AG18" s="4"/>
      <c r="AH18" s="4"/>
      <c r="AI18" s="4"/>
      <c r="AJ18" s="4"/>
      <c r="AK18" s="4"/>
      <c r="AL18" s="4"/>
      <c r="AM18" s="4"/>
      <c r="AN18" s="4"/>
      <c r="AO18" s="4"/>
      <c r="AP18" s="4"/>
      <c r="AQ18" s="4"/>
      <c r="AR18" s="4"/>
      <c r="AS18" s="4"/>
      <c r="AT18" s="4"/>
      <c r="AU18" s="4" t="str">
        <f>"  " &amp; TEXT(AB18,"#0.00%") &amp; " " &amp; "종료계획수립" &amp; "(홍길동)" &amp; " " &amp; IF(M18="","",TEXT(M18,"M/D-")) &amp; IF(N18="","",TEXT(N18,"M/D")) &amp; " "</f>
        <v xml:space="preserve">  0.00% 종료계획수립(홍길동) 2/5-2/9 </v>
      </c>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row>
    <row r="19" spans="1:189" outlineLevel="2">
      <c r="A19" s="116"/>
      <c r="B19" s="116"/>
      <c r="C19" s="116">
        <v>3</v>
      </c>
      <c r="D19" s="3" t="s">
        <v>436</v>
      </c>
      <c r="E19" s="184"/>
      <c r="F19" s="184"/>
      <c r="G19" s="184" t="s">
        <v>443</v>
      </c>
      <c r="H19" s="184"/>
      <c r="I19" s="184"/>
      <c r="J19" s="184"/>
      <c r="K19" s="184"/>
      <c r="L19" s="184"/>
      <c r="M19" s="185">
        <v>43508</v>
      </c>
      <c r="N19" s="185">
        <v>43526</v>
      </c>
      <c r="O19" s="186"/>
      <c r="P19" s="187">
        <v>13</v>
      </c>
      <c r="Q19" s="187">
        <v>0</v>
      </c>
      <c r="R19" s="188">
        <v>13</v>
      </c>
      <c r="S19" s="188">
        <v>0</v>
      </c>
      <c r="T19" s="185"/>
      <c r="U19" s="185"/>
      <c r="V19" s="189"/>
      <c r="W19" s="190">
        <v>0</v>
      </c>
      <c r="X19" s="191">
        <v>1</v>
      </c>
      <c r="Y19" s="186" t="s">
        <v>995</v>
      </c>
      <c r="Z19" s="192"/>
      <c r="AA19" s="97">
        <v>0</v>
      </c>
      <c r="AB19" s="193">
        <v>0</v>
      </c>
      <c r="AC19" s="123"/>
      <c r="AD19" s="4"/>
      <c r="AE19" s="4"/>
      <c r="AF19" s="4"/>
      <c r="AG19" s="4"/>
      <c r="AH19" s="4"/>
      <c r="AI19" s="4"/>
      <c r="AJ19" s="4"/>
      <c r="AK19" s="4"/>
      <c r="AL19" s="4"/>
      <c r="AM19" s="4"/>
      <c r="AN19" s="4"/>
      <c r="AO19" s="4"/>
      <c r="AP19" s="4"/>
      <c r="AQ19" s="4"/>
      <c r="AR19" s="4"/>
      <c r="AS19" s="4"/>
      <c r="AT19" s="4"/>
      <c r="AU19" s="4"/>
      <c r="AV19" s="4" t="str">
        <f>"  " &amp; TEXT(AB19,"#0.00%") &amp; " "</f>
        <v xml:space="preserve">  0.00% </v>
      </c>
      <c r="AW19" s="4"/>
      <c r="AX19" s="4"/>
      <c r="AY19" s="4" t="str">
        <f>"" &amp; "시스템 인수인계" &amp; "(홍길동)" &amp; " " &amp; IF(M19="","",TEXT(M19,"M/D-")) &amp; IF(N19="","",TEXT(N19,"M/D")) &amp; " "</f>
        <v xml:space="preserve">시스템 인수인계(홍길동) 2/12-3/2 </v>
      </c>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row>
    <row r="20" spans="1:189" outlineLevel="2">
      <c r="A20" s="116"/>
      <c r="B20" s="116"/>
      <c r="C20" s="116">
        <v>3</v>
      </c>
      <c r="D20" s="3" t="s">
        <v>437</v>
      </c>
      <c r="E20" s="184"/>
      <c r="F20" s="184"/>
      <c r="G20" s="184" t="s">
        <v>444</v>
      </c>
      <c r="H20" s="184"/>
      <c r="I20" s="184"/>
      <c r="J20" s="184"/>
      <c r="K20" s="184"/>
      <c r="L20" s="184"/>
      <c r="M20" s="185">
        <v>43526</v>
      </c>
      <c r="N20" s="185">
        <v>43526</v>
      </c>
      <c r="O20" s="186"/>
      <c r="P20" s="187">
        <v>0</v>
      </c>
      <c r="Q20" s="187">
        <v>0</v>
      </c>
      <c r="R20" s="188">
        <v>0</v>
      </c>
      <c r="S20" s="188">
        <v>0</v>
      </c>
      <c r="T20" s="185"/>
      <c r="U20" s="185"/>
      <c r="V20" s="189"/>
      <c r="W20" s="190">
        <v>0</v>
      </c>
      <c r="X20" s="191">
        <v>1</v>
      </c>
      <c r="Y20" s="186" t="s">
        <v>995</v>
      </c>
      <c r="Z20" s="192"/>
      <c r="AA20" s="97">
        <v>0</v>
      </c>
      <c r="AB20" s="193">
        <v>0</v>
      </c>
      <c r="AC20" s="123"/>
      <c r="AD20" s="4"/>
      <c r="AE20" s="4"/>
      <c r="AF20" s="4"/>
      <c r="AG20" s="4"/>
      <c r="AH20" s="4"/>
      <c r="AI20" s="4"/>
      <c r="AJ20" s="4"/>
      <c r="AK20" s="4"/>
      <c r="AL20" s="4"/>
      <c r="AM20" s="4"/>
      <c r="AN20" s="4"/>
      <c r="AO20" s="4"/>
      <c r="AP20" s="4"/>
      <c r="AQ20" s="4"/>
      <c r="AR20" s="4"/>
      <c r="AS20" s="4"/>
      <c r="AT20" s="4"/>
      <c r="AU20" s="4"/>
      <c r="AV20" s="4"/>
      <c r="AW20" s="4"/>
      <c r="AX20" s="4" t="str">
        <f>"      " &amp; TEXT(AB20,"#0.00%") &amp; " " &amp; "종료보고" &amp; "(홍길동)" &amp; " " &amp; IF(M20="","",TEXT(M20,"M/D-")) &amp; IF(N20="","",TEXT(N20,"M/D")) &amp; " "</f>
        <v xml:space="preserve">      0.00% 종료보고(홍길동) 3/2-3/2 </v>
      </c>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row>
    <row r="21" spans="1:189" outlineLevel="2">
      <c r="A21" s="116"/>
      <c r="B21" s="116"/>
      <c r="C21" s="116">
        <v>3</v>
      </c>
      <c r="D21" s="3" t="s">
        <v>451</v>
      </c>
      <c r="E21" s="184"/>
      <c r="F21" s="184"/>
      <c r="G21" s="184" t="s">
        <v>445</v>
      </c>
      <c r="H21" s="184"/>
      <c r="I21" s="184"/>
      <c r="J21" s="184"/>
      <c r="K21" s="184"/>
      <c r="L21" s="184"/>
      <c r="M21" s="185">
        <v>43526</v>
      </c>
      <c r="N21" s="185">
        <v>43526</v>
      </c>
      <c r="O21" s="186"/>
      <c r="P21" s="187">
        <v>0</v>
      </c>
      <c r="Q21" s="187">
        <v>0</v>
      </c>
      <c r="R21" s="188">
        <v>0</v>
      </c>
      <c r="S21" s="188">
        <v>0</v>
      </c>
      <c r="T21" s="185"/>
      <c r="U21" s="185"/>
      <c r="V21" s="189"/>
      <c r="W21" s="190">
        <v>0</v>
      </c>
      <c r="X21" s="191">
        <v>1</v>
      </c>
      <c r="Y21" s="186" t="s">
        <v>995</v>
      </c>
      <c r="Z21" s="192"/>
      <c r="AA21" s="97">
        <v>0</v>
      </c>
      <c r="AB21" s="193">
        <v>0</v>
      </c>
      <c r="AC21" s="123"/>
      <c r="AD21" s="4"/>
      <c r="AE21" s="4"/>
      <c r="AF21" s="4"/>
      <c r="AG21" s="4"/>
      <c r="AH21" s="4"/>
      <c r="AI21" s="4"/>
      <c r="AJ21" s="4"/>
      <c r="AK21" s="4"/>
      <c r="AL21" s="4"/>
      <c r="AM21" s="4"/>
      <c r="AN21" s="4"/>
      <c r="AO21" s="4"/>
      <c r="AP21" s="4"/>
      <c r="AQ21" s="4"/>
      <c r="AR21" s="4"/>
      <c r="AS21" s="4"/>
      <c r="AT21" s="4"/>
      <c r="AU21" s="4"/>
      <c r="AV21" s="4"/>
      <c r="AW21" s="4"/>
      <c r="AX21" s="4" t="str">
        <f>"      " &amp; TEXT(AB21,"#0.00%") &amp; " " &amp; "검수 및 종료" &amp; "(홍길동)" &amp; " " &amp; IF(M21="","",TEXT(M21,"M/D-")) &amp; IF(N21="","",TEXT(N21,"M/D")) &amp; " "</f>
        <v xml:space="preserve">      0.00% 검수 및 종료(홍길동) 3/2-3/2 </v>
      </c>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row>
    <row r="22" spans="1:189">
      <c r="A22" s="116"/>
      <c r="B22" s="116" t="s">
        <v>1087</v>
      </c>
      <c r="C22" s="116">
        <v>1</v>
      </c>
      <c r="D22" s="3" t="s">
        <v>1093</v>
      </c>
      <c r="E22" s="184" t="s">
        <v>1004</v>
      </c>
      <c r="F22" s="184"/>
      <c r="G22" s="184"/>
      <c r="H22" s="184"/>
      <c r="I22" s="184"/>
      <c r="J22" s="184"/>
      <c r="K22" s="184"/>
      <c r="L22" s="184"/>
      <c r="M22" s="185">
        <v>43379</v>
      </c>
      <c r="N22" s="185">
        <v>43504</v>
      </c>
      <c r="O22" s="186"/>
      <c r="P22" s="187">
        <v>219</v>
      </c>
      <c r="Q22" s="187">
        <v>6</v>
      </c>
      <c r="R22" s="188">
        <v>84</v>
      </c>
      <c r="S22" s="188">
        <v>4</v>
      </c>
      <c r="T22" s="185"/>
      <c r="U22" s="185"/>
      <c r="V22" s="189">
        <v>0</v>
      </c>
      <c r="W22" s="190">
        <v>0</v>
      </c>
      <c r="X22" s="191"/>
      <c r="Y22" s="186"/>
      <c r="Z22" s="192"/>
      <c r="AA22" s="97">
        <v>2.7397260273972601E-2</v>
      </c>
      <c r="AB22" s="193">
        <v>7.7123287671232874E-2</v>
      </c>
      <c r="AC22" s="123"/>
      <c r="AD22" s="4"/>
      <c r="AE22" s="4" t="str">
        <f>"  " &amp; TEXT(AB22,"#0.00%") &amp; " "</f>
        <v xml:space="preserve">  7.71% </v>
      </c>
      <c r="AF22" s="4"/>
      <c r="AG22" s="4"/>
      <c r="AH22" s="4"/>
      <c r="AI22" s="4"/>
      <c r="AJ22" s="4"/>
      <c r="AK22" s="4"/>
      <c r="AL22" s="4"/>
      <c r="AM22" s="4"/>
      <c r="AN22" s="4"/>
      <c r="AO22" s="4"/>
      <c r="AP22" s="4"/>
      <c r="AQ22" s="4"/>
      <c r="AR22" s="4"/>
      <c r="AS22" s="4"/>
      <c r="AT22" s="4"/>
      <c r="AU22" s="4" t="str">
        <f>"      " &amp; "시스템 개발" &amp; " " &amp; IF(M22="","",TEXT(M22,"M/D-")) &amp; IF(N22="","",TEXT(N22,"M/D")) &amp; " "</f>
        <v xml:space="preserve">      시스템 개발 10/6-2/8 </v>
      </c>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row>
    <row r="23" spans="1:189" outlineLevel="1">
      <c r="A23" s="116"/>
      <c r="B23" s="116" t="s">
        <v>1087</v>
      </c>
      <c r="C23" s="116">
        <v>2</v>
      </c>
      <c r="D23" s="3" t="s">
        <v>1094</v>
      </c>
      <c r="E23" s="184"/>
      <c r="F23" s="184" t="s">
        <v>1005</v>
      </c>
      <c r="G23" s="184"/>
      <c r="H23" s="184"/>
      <c r="I23" s="184"/>
      <c r="J23" s="184"/>
      <c r="K23" s="184"/>
      <c r="L23" s="184"/>
      <c r="M23" s="185">
        <v>43379</v>
      </c>
      <c r="N23" s="185">
        <v>43397</v>
      </c>
      <c r="O23" s="186"/>
      <c r="P23" s="187">
        <v>28</v>
      </c>
      <c r="Q23" s="187">
        <v>6</v>
      </c>
      <c r="R23" s="188">
        <v>12</v>
      </c>
      <c r="S23" s="188">
        <v>4</v>
      </c>
      <c r="T23" s="185"/>
      <c r="U23" s="185"/>
      <c r="V23" s="189">
        <v>0</v>
      </c>
      <c r="W23" s="190">
        <v>0</v>
      </c>
      <c r="X23" s="191"/>
      <c r="Y23" s="186"/>
      <c r="Z23" s="192"/>
      <c r="AA23" s="97">
        <v>0.21428571428571427</v>
      </c>
      <c r="AB23" s="193">
        <v>0.45</v>
      </c>
      <c r="AC23" s="123"/>
      <c r="AD23" s="4"/>
      <c r="AE23" s="4" t="str">
        <f>" " &amp; TEXT(AB23,"#0.00%") &amp; " " &amp; "분석" &amp; " " &amp; IF(M23="","",TEXT(M23,"M/D-")) &amp; IF(N23="","",TEXT(N23,"M/D")) &amp; " "</f>
        <v xml:space="preserve"> 45.00% 분석 10/6-10/24 </v>
      </c>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row>
    <row r="24" spans="1:189" outlineLevel="2">
      <c r="A24" s="116"/>
      <c r="B24" s="116"/>
      <c r="C24" s="116">
        <v>3</v>
      </c>
      <c r="D24" s="3" t="s">
        <v>996</v>
      </c>
      <c r="E24" s="184"/>
      <c r="F24" s="184"/>
      <c r="G24" s="184" t="s">
        <v>446</v>
      </c>
      <c r="H24" s="184"/>
      <c r="I24" s="184"/>
      <c r="J24" s="184"/>
      <c r="K24" s="184"/>
      <c r="L24" s="184"/>
      <c r="M24" s="185">
        <v>43379</v>
      </c>
      <c r="N24" s="185">
        <v>43397</v>
      </c>
      <c r="O24" s="186"/>
      <c r="P24" s="187">
        <v>12</v>
      </c>
      <c r="Q24" s="187">
        <v>4</v>
      </c>
      <c r="R24" s="188">
        <v>12</v>
      </c>
      <c r="S24" s="188">
        <v>4</v>
      </c>
      <c r="T24" s="185">
        <v>43309</v>
      </c>
      <c r="U24" s="185">
        <v>43327</v>
      </c>
      <c r="V24" s="189">
        <v>12</v>
      </c>
      <c r="W24" s="190">
        <v>12</v>
      </c>
      <c r="X24" s="191">
        <v>1</v>
      </c>
      <c r="Y24" s="186" t="s">
        <v>1054</v>
      </c>
      <c r="Z24" s="192"/>
      <c r="AA24" s="97">
        <v>0.33333333333333331</v>
      </c>
      <c r="AB24" s="193">
        <v>0.45</v>
      </c>
      <c r="AC24" s="123"/>
      <c r="AD24" s="4"/>
      <c r="AE24" s="4" t="str">
        <f>" " &amp; TEXT(AB24,"#0.00%") &amp; " " &amp; "요구사항정의" &amp; "(박길동,정길동,최길동)" &amp; " " &amp; IF(M24="","",TEXT(M24,"M/D-")) &amp; IF(N24="","",TEXT(N24,"M/D")) &amp; " "</f>
        <v xml:space="preserve"> 45.00% 요구사항정의(박길동,정길동,최길동) 10/6-10/24 </v>
      </c>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row>
    <row r="25" spans="1:189" outlineLevel="2">
      <c r="A25" s="116"/>
      <c r="B25" s="116" t="s">
        <v>1087</v>
      </c>
      <c r="C25" s="116">
        <v>3</v>
      </c>
      <c r="D25" s="3" t="s">
        <v>1095</v>
      </c>
      <c r="E25" s="184"/>
      <c r="F25" s="184"/>
      <c r="G25" s="184" t="s">
        <v>1006</v>
      </c>
      <c r="H25" s="184"/>
      <c r="I25" s="184"/>
      <c r="J25" s="184"/>
      <c r="K25" s="184"/>
      <c r="L25" s="184"/>
      <c r="M25" s="185">
        <v>43385</v>
      </c>
      <c r="N25" s="185">
        <v>43396</v>
      </c>
      <c r="O25" s="186"/>
      <c r="P25" s="187">
        <v>16</v>
      </c>
      <c r="Q25" s="187">
        <v>2</v>
      </c>
      <c r="R25" s="188">
        <v>8</v>
      </c>
      <c r="S25" s="188">
        <v>1</v>
      </c>
      <c r="T25" s="185"/>
      <c r="U25" s="185"/>
      <c r="V25" s="189">
        <v>0</v>
      </c>
      <c r="W25" s="190">
        <v>0</v>
      </c>
      <c r="X25" s="191"/>
      <c r="Y25" s="186"/>
      <c r="Z25" s="192"/>
      <c r="AA25" s="97">
        <v>0.125</v>
      </c>
      <c r="AB25" s="193">
        <v>0.45</v>
      </c>
      <c r="AC25" s="123"/>
      <c r="AD25" s="4"/>
      <c r="AE25" s="4" t="str">
        <f>"   " &amp; TEXT(AB25,"#0.00%") &amp; " " &amp; "논리모델구축" &amp; " " &amp; IF(M25="","",TEXT(M25,"M/D-")) &amp; IF(N25="","",TEXT(N25,"M/D")) &amp; " "</f>
        <v xml:space="preserve">   45.00% 논리모델구축 10/12-10/23 </v>
      </c>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row>
    <row r="26" spans="1:189" outlineLevel="3">
      <c r="A26" s="116"/>
      <c r="B26" s="116"/>
      <c r="C26" s="116">
        <v>4</v>
      </c>
      <c r="D26" s="3" t="s">
        <v>997</v>
      </c>
      <c r="E26" s="184"/>
      <c r="F26" s="184"/>
      <c r="G26" s="184"/>
      <c r="H26" s="184" t="s">
        <v>447</v>
      </c>
      <c r="I26" s="184"/>
      <c r="J26" s="184"/>
      <c r="K26" s="184"/>
      <c r="L26" s="184"/>
      <c r="M26" s="185">
        <v>43385</v>
      </c>
      <c r="N26" s="185">
        <v>43396</v>
      </c>
      <c r="O26" s="186"/>
      <c r="P26" s="187">
        <v>8</v>
      </c>
      <c r="Q26" s="187">
        <v>1</v>
      </c>
      <c r="R26" s="188">
        <v>8</v>
      </c>
      <c r="S26" s="188">
        <v>1</v>
      </c>
      <c r="T26" s="185">
        <v>43315</v>
      </c>
      <c r="U26" s="185">
        <v>43326</v>
      </c>
      <c r="V26" s="189">
        <v>8</v>
      </c>
      <c r="W26" s="190">
        <v>8</v>
      </c>
      <c r="X26" s="191">
        <v>1</v>
      </c>
      <c r="Y26" s="186" t="s">
        <v>1055</v>
      </c>
      <c r="Z26" s="192"/>
      <c r="AA26" s="97">
        <v>0.125</v>
      </c>
      <c r="AB26" s="193">
        <v>0.4</v>
      </c>
      <c r="AC26" s="123"/>
      <c r="AD26" s="4"/>
      <c r="AE26" s="4" t="str">
        <f>"   " &amp; TEXT(AB26,"#0.00%") &amp; " " &amp; "프로세스모델링" &amp; "(정길동)" &amp; " " &amp; IF(M26="","",TEXT(M26,"M/D-")) &amp; IF(N26="","",TEXT(N26,"M/D")) &amp; " "</f>
        <v xml:space="preserve">   40.00% 프로세스모델링(정길동) 10/12-10/23 </v>
      </c>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row>
    <row r="27" spans="1:189" outlineLevel="3">
      <c r="A27" s="116"/>
      <c r="B27" s="116"/>
      <c r="C27" s="116">
        <v>4</v>
      </c>
      <c r="D27" s="3" t="s">
        <v>998</v>
      </c>
      <c r="E27" s="184"/>
      <c r="F27" s="184"/>
      <c r="G27" s="184"/>
      <c r="H27" s="184" t="s">
        <v>448</v>
      </c>
      <c r="I27" s="184"/>
      <c r="J27" s="184"/>
      <c r="K27" s="184"/>
      <c r="L27" s="184"/>
      <c r="M27" s="185">
        <v>43385</v>
      </c>
      <c r="N27" s="185">
        <v>43396</v>
      </c>
      <c r="O27" s="186"/>
      <c r="P27" s="187">
        <v>8</v>
      </c>
      <c r="Q27" s="187">
        <v>1</v>
      </c>
      <c r="R27" s="188">
        <v>8</v>
      </c>
      <c r="S27" s="188">
        <v>1</v>
      </c>
      <c r="T27" s="185">
        <v>43315</v>
      </c>
      <c r="U27" s="185">
        <v>43326</v>
      </c>
      <c r="V27" s="189">
        <v>8</v>
      </c>
      <c r="W27" s="190">
        <v>8</v>
      </c>
      <c r="X27" s="191">
        <v>1</v>
      </c>
      <c r="Y27" s="186" t="s">
        <v>1055</v>
      </c>
      <c r="Z27" s="192" t="s">
        <v>1056</v>
      </c>
      <c r="AA27" s="97">
        <v>0.125</v>
      </c>
      <c r="AB27" s="193">
        <v>0.5</v>
      </c>
      <c r="AC27" s="123"/>
      <c r="AD27" s="4"/>
      <c r="AE27" s="4" t="str">
        <f>"    " &amp; TEXT(AB27,"#0.00%") &amp; " " &amp; "데이터모델링" &amp; "(정길동)" &amp; " " &amp; IF(M27="","",TEXT(M27,"M/D-")) &amp; IF(N27="","",TEXT(N27,"M/D")) &amp; " "</f>
        <v xml:space="preserve">    50.00% 데이터모델링(정길동) 10/12-10/23 </v>
      </c>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row>
    <row r="28" spans="1:189" outlineLevel="1">
      <c r="A28" s="116"/>
      <c r="B28" s="116" t="s">
        <v>1087</v>
      </c>
      <c r="C28" s="116">
        <v>2</v>
      </c>
      <c r="D28" s="3" t="s">
        <v>1096</v>
      </c>
      <c r="E28" s="184"/>
      <c r="F28" s="184" t="s">
        <v>1007</v>
      </c>
      <c r="G28" s="184"/>
      <c r="H28" s="184"/>
      <c r="I28" s="184"/>
      <c r="J28" s="184"/>
      <c r="K28" s="184"/>
      <c r="L28" s="184"/>
      <c r="M28" s="185">
        <v>43399</v>
      </c>
      <c r="N28" s="185">
        <v>43438</v>
      </c>
      <c r="O28" s="186"/>
      <c r="P28" s="187">
        <v>45</v>
      </c>
      <c r="Q28" s="187">
        <v>0</v>
      </c>
      <c r="R28" s="188">
        <v>28</v>
      </c>
      <c r="S28" s="188">
        <v>0</v>
      </c>
      <c r="T28" s="185"/>
      <c r="U28" s="185"/>
      <c r="V28" s="189">
        <v>0</v>
      </c>
      <c r="W28" s="190">
        <v>0</v>
      </c>
      <c r="X28" s="191"/>
      <c r="Y28" s="186"/>
      <c r="Z28" s="192"/>
      <c r="AA28" s="97">
        <v>0</v>
      </c>
      <c r="AB28" s="193">
        <v>9.5333333333333339E-2</v>
      </c>
      <c r="AC28" s="123"/>
      <c r="AD28" s="4"/>
      <c r="AE28" s="4"/>
      <c r="AF28" s="4"/>
      <c r="AG28" s="4" t="str">
        <f>"  " &amp; TEXT(AB28,"#0.00%") &amp; " "</f>
        <v xml:space="preserve">  9.53% </v>
      </c>
      <c r="AH28" s="4"/>
      <c r="AI28" s="4"/>
      <c r="AJ28" s="4"/>
      <c r="AK28" s="4"/>
      <c r="AL28" s="4" t="str">
        <f>"   " &amp; "설계" &amp; " " &amp; IF(M28="","",TEXT(M28,"M/D-")) &amp; IF(N28="","",TEXT(N28,"M/D")) &amp; " "</f>
        <v xml:space="preserve">   설계 10/26-12/4 </v>
      </c>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row>
    <row r="29" spans="1:189" outlineLevel="2">
      <c r="A29" s="116"/>
      <c r="B29" s="116"/>
      <c r="C29" s="116">
        <v>3</v>
      </c>
      <c r="D29" s="3" t="s">
        <v>999</v>
      </c>
      <c r="E29" s="184"/>
      <c r="F29" s="184"/>
      <c r="G29" s="184" t="s">
        <v>1008</v>
      </c>
      <c r="H29" s="184"/>
      <c r="I29" s="184"/>
      <c r="J29" s="184"/>
      <c r="K29" s="184"/>
      <c r="L29" s="184"/>
      <c r="M29" s="185">
        <v>43399</v>
      </c>
      <c r="N29" s="185">
        <v>43417</v>
      </c>
      <c r="O29" s="186"/>
      <c r="P29" s="187">
        <v>13</v>
      </c>
      <c r="Q29" s="187">
        <v>0</v>
      </c>
      <c r="R29" s="188">
        <v>13</v>
      </c>
      <c r="S29" s="188">
        <v>0</v>
      </c>
      <c r="T29" s="185">
        <v>43329</v>
      </c>
      <c r="U29" s="185"/>
      <c r="V29" s="189">
        <v>-30942</v>
      </c>
      <c r="W29" s="190">
        <v>0</v>
      </c>
      <c r="X29" s="191">
        <v>1</v>
      </c>
      <c r="Y29" s="186" t="s">
        <v>1057</v>
      </c>
      <c r="Z29" s="192"/>
      <c r="AA29" s="97">
        <v>0</v>
      </c>
      <c r="AB29" s="193">
        <v>0.33</v>
      </c>
      <c r="AC29" s="123"/>
      <c r="AD29" s="4"/>
      <c r="AE29" s="4"/>
      <c r="AF29" s="4"/>
      <c r="AG29" s="4" t="str">
        <f>"    " &amp; TEXT(AB29,"#0.00%") &amp; " " &amp; "UI 설계" &amp; "(유아인)" &amp; " " &amp; IF(M29="","",TEXT(M29,"M/D-")) &amp; IF(N29="","",TEXT(N29,"M/D")) &amp; " "</f>
        <v xml:space="preserve">    33.00% UI 설계(유아인) 10/26-11/13 </v>
      </c>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row>
    <row r="30" spans="1:189" outlineLevel="2">
      <c r="A30" s="116"/>
      <c r="B30" s="116" t="s">
        <v>1087</v>
      </c>
      <c r="C30" s="116">
        <v>3</v>
      </c>
      <c r="D30" s="3" t="s">
        <v>1097</v>
      </c>
      <c r="E30" s="184"/>
      <c r="F30" s="184"/>
      <c r="G30" s="184" t="s">
        <v>1009</v>
      </c>
      <c r="H30" s="184"/>
      <c r="I30" s="184"/>
      <c r="J30" s="184"/>
      <c r="K30" s="184"/>
      <c r="L30" s="184"/>
      <c r="M30" s="185">
        <v>43406</v>
      </c>
      <c r="N30" s="185">
        <v>43431</v>
      </c>
      <c r="O30" s="186"/>
      <c r="P30" s="187">
        <v>29</v>
      </c>
      <c r="Q30" s="187">
        <v>0</v>
      </c>
      <c r="R30" s="188">
        <v>18</v>
      </c>
      <c r="S30" s="188">
        <v>0</v>
      </c>
      <c r="T30" s="185"/>
      <c r="U30" s="185"/>
      <c r="V30" s="189">
        <v>0</v>
      </c>
      <c r="W30" s="190">
        <v>0</v>
      </c>
      <c r="X30" s="191"/>
      <c r="Y30" s="186"/>
      <c r="Z30" s="192"/>
      <c r="AA30" s="97">
        <v>0</v>
      </c>
      <c r="AB30" s="193">
        <v>0</v>
      </c>
      <c r="AC30" s="123"/>
      <c r="AD30" s="4"/>
      <c r="AE30" s="4"/>
      <c r="AF30" s="4"/>
      <c r="AG30" s="4" t="str">
        <f>"     " &amp; TEXT(AB30,"#0.00%") &amp; " "</f>
        <v xml:space="preserve">     0.00% </v>
      </c>
      <c r="AH30" s="4"/>
      <c r="AI30" s="4"/>
      <c r="AJ30" s="4"/>
      <c r="AK30" s="4" t="str">
        <f>"   " &amp; "시스템 설계" &amp; " " &amp; IF(M30="","",TEXT(M30,"M/D-")) &amp; IF(N30="","",TEXT(N30,"M/D")) &amp; " "</f>
        <v xml:space="preserve">   시스템 설계 11/2-11/27 </v>
      </c>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row>
    <row r="31" spans="1:189" outlineLevel="3">
      <c r="A31" s="116"/>
      <c r="B31" s="116"/>
      <c r="C31" s="116">
        <v>4</v>
      </c>
      <c r="D31" s="3" t="s">
        <v>1010</v>
      </c>
      <c r="E31" s="184"/>
      <c r="F31" s="184"/>
      <c r="G31" s="184"/>
      <c r="H31" s="184" t="s">
        <v>1011</v>
      </c>
      <c r="I31" s="184"/>
      <c r="J31" s="184"/>
      <c r="K31" s="184"/>
      <c r="L31" s="184"/>
      <c r="M31" s="185">
        <v>43406</v>
      </c>
      <c r="N31" s="185">
        <v>43417</v>
      </c>
      <c r="O31" s="186"/>
      <c r="P31" s="187">
        <v>8</v>
      </c>
      <c r="Q31" s="187">
        <v>0</v>
      </c>
      <c r="R31" s="188">
        <v>8</v>
      </c>
      <c r="S31" s="188">
        <v>0</v>
      </c>
      <c r="T31" s="185">
        <v>43336</v>
      </c>
      <c r="U31" s="185"/>
      <c r="V31" s="189">
        <v>-30947</v>
      </c>
      <c r="W31" s="190">
        <v>0</v>
      </c>
      <c r="X31" s="191">
        <v>1</v>
      </c>
      <c r="Y31" s="186" t="s">
        <v>1058</v>
      </c>
      <c r="Z31" s="192"/>
      <c r="AA31" s="97">
        <v>0</v>
      </c>
      <c r="AB31" s="193">
        <v>0</v>
      </c>
      <c r="AC31" s="123"/>
      <c r="AD31" s="4"/>
      <c r="AE31" s="4"/>
      <c r="AF31" s="4"/>
      <c r="AG31" s="4" t="str">
        <f>"     " &amp; TEXT(AB31,"#0.00%") &amp; " " &amp; "Architecture설계" &amp; "(김아키)" &amp; " " &amp; IF(M31="","",TEXT(M31,"M/D-")) &amp; IF(N31="","",TEXT(N31,"M/D")) &amp; " "</f>
        <v xml:space="preserve">     0.00% Architecture설계(김아키) 11/2-11/13 </v>
      </c>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row>
    <row r="32" spans="1:189" outlineLevel="3">
      <c r="A32" s="116"/>
      <c r="B32" s="116"/>
      <c r="C32" s="116">
        <v>4</v>
      </c>
      <c r="D32" s="3" t="s">
        <v>1012</v>
      </c>
      <c r="E32" s="184"/>
      <c r="F32" s="184"/>
      <c r="G32" s="184"/>
      <c r="H32" s="184" t="s">
        <v>1013</v>
      </c>
      <c r="I32" s="184"/>
      <c r="J32" s="184"/>
      <c r="K32" s="184"/>
      <c r="L32" s="184"/>
      <c r="M32" s="185">
        <v>43413</v>
      </c>
      <c r="N32" s="185">
        <v>43424</v>
      </c>
      <c r="O32" s="186"/>
      <c r="P32" s="187">
        <v>8</v>
      </c>
      <c r="Q32" s="187">
        <v>0</v>
      </c>
      <c r="R32" s="188">
        <v>8</v>
      </c>
      <c r="S32" s="188">
        <v>0</v>
      </c>
      <c r="T32" s="185"/>
      <c r="U32" s="185"/>
      <c r="V32" s="189"/>
      <c r="W32" s="190">
        <v>0</v>
      </c>
      <c r="X32" s="191">
        <v>1</v>
      </c>
      <c r="Y32" s="186" t="s">
        <v>1059</v>
      </c>
      <c r="Z32" s="192"/>
      <c r="AA32" s="97">
        <v>0</v>
      </c>
      <c r="AB32" s="193">
        <v>0</v>
      </c>
      <c r="AC32" s="123"/>
      <c r="AD32" s="4"/>
      <c r="AE32" s="4"/>
      <c r="AF32" s="4"/>
      <c r="AG32" s="4"/>
      <c r="AH32" s="4" t="str">
        <f>"     " &amp; TEXT(AB32,"#0.00%") &amp; " " &amp; "데이터베이스설계" &amp; "(김디비)" &amp; " " &amp; IF(M32="","",TEXT(M32,"M/D-")) &amp; IF(N32="","",TEXT(N32,"M/D")) &amp; " "</f>
        <v xml:space="preserve">     0.00% 데이터베이스설계(김디비) 11/9-11/20 </v>
      </c>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row>
    <row r="33" spans="1:189" outlineLevel="3">
      <c r="A33" s="116"/>
      <c r="B33" s="116"/>
      <c r="C33" s="116">
        <v>4</v>
      </c>
      <c r="D33" s="3" t="s">
        <v>1014</v>
      </c>
      <c r="E33" s="184"/>
      <c r="F33" s="184"/>
      <c r="G33" s="184"/>
      <c r="H33" s="184" t="s">
        <v>1015</v>
      </c>
      <c r="I33" s="184"/>
      <c r="J33" s="184"/>
      <c r="K33" s="184"/>
      <c r="L33" s="184"/>
      <c r="M33" s="185">
        <v>43413</v>
      </c>
      <c r="N33" s="185">
        <v>43431</v>
      </c>
      <c r="O33" s="186"/>
      <c r="P33" s="187">
        <v>13</v>
      </c>
      <c r="Q33" s="187">
        <v>0</v>
      </c>
      <c r="R33" s="188">
        <v>13</v>
      </c>
      <c r="S33" s="188">
        <v>0</v>
      </c>
      <c r="T33" s="185"/>
      <c r="U33" s="185"/>
      <c r="V33" s="189"/>
      <c r="W33" s="190">
        <v>0</v>
      </c>
      <c r="X33" s="191">
        <v>1</v>
      </c>
      <c r="Y33" s="186" t="s">
        <v>1060</v>
      </c>
      <c r="Z33" s="192" t="s">
        <v>1061</v>
      </c>
      <c r="AA33" s="97">
        <v>0</v>
      </c>
      <c r="AB33" s="193">
        <v>0</v>
      </c>
      <c r="AC33" s="123"/>
      <c r="AD33" s="4"/>
      <c r="AE33" s="4"/>
      <c r="AF33" s="4"/>
      <c r="AG33" s="4"/>
      <c r="AH33" s="4" t="str">
        <f>"     " &amp; TEXT(AB33,"#0.00%") &amp; " " &amp; "프로그램설계" &amp; "(김프로)" &amp; " " &amp; IF(M33="","",TEXT(M33,"M/D-")) &amp; IF(N33="","",TEXT(N33,"M/D")) &amp; " "</f>
        <v xml:space="preserve">     0.00% 프로그램설계(김프로) 11/9-11/27 </v>
      </c>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row>
    <row r="34" spans="1:189" outlineLevel="2">
      <c r="A34" s="116"/>
      <c r="B34" s="116"/>
      <c r="C34" s="116">
        <v>3</v>
      </c>
      <c r="D34" s="3" t="s">
        <v>1000</v>
      </c>
      <c r="E34" s="184"/>
      <c r="F34" s="184"/>
      <c r="G34" s="184" t="s">
        <v>1016</v>
      </c>
      <c r="H34" s="184"/>
      <c r="I34" s="184"/>
      <c r="J34" s="184"/>
      <c r="K34" s="184"/>
      <c r="L34" s="184"/>
      <c r="M34" s="185">
        <v>43434</v>
      </c>
      <c r="N34" s="185">
        <v>43438</v>
      </c>
      <c r="O34" s="186"/>
      <c r="P34" s="187">
        <v>3</v>
      </c>
      <c r="Q34" s="187">
        <v>0</v>
      </c>
      <c r="R34" s="188">
        <v>3</v>
      </c>
      <c r="S34" s="188">
        <v>0</v>
      </c>
      <c r="T34" s="185"/>
      <c r="U34" s="185"/>
      <c r="V34" s="189"/>
      <c r="W34" s="190">
        <v>0</v>
      </c>
      <c r="X34" s="191">
        <v>1</v>
      </c>
      <c r="Y34" s="186" t="s">
        <v>1060</v>
      </c>
      <c r="Z34" s="192"/>
      <c r="AA34" s="97">
        <v>0</v>
      </c>
      <c r="AB34" s="193">
        <v>0</v>
      </c>
      <c r="AC34" s="123"/>
      <c r="AD34" s="4"/>
      <c r="AE34" s="4"/>
      <c r="AF34" s="4"/>
      <c r="AG34" s="4"/>
      <c r="AH34" s="4"/>
      <c r="AI34" s="4"/>
      <c r="AJ34" s="4"/>
      <c r="AK34" s="4" t="str">
        <f>"     " &amp; TEXT(AB34,"#0.00%") &amp; " " &amp; "테스트 설계" &amp; "(김프로)" &amp; " " &amp; IF(M34="","",TEXT(M34,"M/D-")) &amp; IF(N34="","",TEXT(N34,"M/D")) &amp; " "</f>
        <v xml:space="preserve">     0.00% 테스트 설계(김프로) 11/30-12/4 </v>
      </c>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row>
    <row r="35" spans="1:189" outlineLevel="1">
      <c r="A35" s="116"/>
      <c r="B35" s="116" t="s">
        <v>1087</v>
      </c>
      <c r="C35" s="116">
        <v>2</v>
      </c>
      <c r="D35" s="3" t="s">
        <v>1098</v>
      </c>
      <c r="E35" s="184"/>
      <c r="F35" s="184" t="s">
        <v>1017</v>
      </c>
      <c r="G35" s="184"/>
      <c r="H35" s="184"/>
      <c r="I35" s="184"/>
      <c r="J35" s="184"/>
      <c r="K35" s="184"/>
      <c r="L35" s="184"/>
      <c r="M35" s="185">
        <v>43434</v>
      </c>
      <c r="N35" s="185">
        <v>43501</v>
      </c>
      <c r="O35" s="186"/>
      <c r="P35" s="187">
        <v>141</v>
      </c>
      <c r="Q35" s="187">
        <v>0</v>
      </c>
      <c r="R35" s="188">
        <v>44</v>
      </c>
      <c r="S35" s="188">
        <v>0</v>
      </c>
      <c r="T35" s="185"/>
      <c r="U35" s="185"/>
      <c r="V35" s="189">
        <v>0</v>
      </c>
      <c r="W35" s="190">
        <v>0</v>
      </c>
      <c r="X35" s="191"/>
      <c r="Y35" s="186"/>
      <c r="Z35" s="192"/>
      <c r="AA35" s="97">
        <v>0</v>
      </c>
      <c r="AB35" s="193">
        <v>0</v>
      </c>
      <c r="AC35" s="123"/>
      <c r="AD35" s="4"/>
      <c r="AE35" s="4"/>
      <c r="AF35" s="4"/>
      <c r="AG35" s="4"/>
      <c r="AH35" s="4"/>
      <c r="AI35" s="4"/>
      <c r="AJ35" s="4"/>
      <c r="AK35" s="4" t="str">
        <f>"     " &amp; TEXT(AB35,"#0.00%") &amp; " "</f>
        <v xml:space="preserve">     0.00% </v>
      </c>
      <c r="AL35" s="4"/>
      <c r="AM35" s="4"/>
      <c r="AN35" s="4"/>
      <c r="AO35" s="4"/>
      <c r="AP35" s="4"/>
      <c r="AQ35" s="4"/>
      <c r="AR35" s="4"/>
      <c r="AS35" s="4"/>
      <c r="AT35" s="4"/>
      <c r="AU35" s="4" t="str">
        <f>"   " &amp; "개발" &amp; " " &amp; IF(M35="","",TEXT(M35,"M/D-")) &amp; IF(N35="","",TEXT(N35,"M/D")) &amp; " "</f>
        <v xml:space="preserve">   개발 11/30-2/5 </v>
      </c>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row>
    <row r="36" spans="1:189" outlineLevel="2">
      <c r="A36" s="116"/>
      <c r="B36" s="116" t="s">
        <v>1087</v>
      </c>
      <c r="C36" s="116">
        <v>3</v>
      </c>
      <c r="D36" s="3" t="s">
        <v>1099</v>
      </c>
      <c r="E36" s="184"/>
      <c r="F36" s="184"/>
      <c r="G36" s="184" t="s">
        <v>1018</v>
      </c>
      <c r="H36" s="184"/>
      <c r="I36" s="184"/>
      <c r="J36" s="184"/>
      <c r="K36" s="184"/>
      <c r="L36" s="184"/>
      <c r="M36" s="185">
        <v>43434</v>
      </c>
      <c r="N36" s="185">
        <v>43493</v>
      </c>
      <c r="O36" s="186"/>
      <c r="P36" s="187">
        <v>127</v>
      </c>
      <c r="Q36" s="187">
        <v>0</v>
      </c>
      <c r="R36" s="188">
        <v>40</v>
      </c>
      <c r="S36" s="188">
        <v>0</v>
      </c>
      <c r="T36" s="185"/>
      <c r="U36" s="185"/>
      <c r="V36" s="189">
        <v>0</v>
      </c>
      <c r="W36" s="190">
        <v>0</v>
      </c>
      <c r="X36" s="191"/>
      <c r="Y36" s="186"/>
      <c r="Z36" s="192"/>
      <c r="AA36" s="97">
        <v>0</v>
      </c>
      <c r="AB36" s="193">
        <v>0</v>
      </c>
      <c r="AC36" s="123"/>
      <c r="AD36" s="4"/>
      <c r="AE36" s="4"/>
      <c r="AF36" s="4"/>
      <c r="AG36" s="4"/>
      <c r="AH36" s="4"/>
      <c r="AI36" s="4"/>
      <c r="AJ36" s="4"/>
      <c r="AK36" s="4" t="str">
        <f>"     " &amp; TEXT(AB36,"#0.00%") &amp; " "</f>
        <v xml:space="preserve">     0.00% </v>
      </c>
      <c r="AL36" s="4"/>
      <c r="AM36" s="4"/>
      <c r="AN36" s="4"/>
      <c r="AO36" s="4"/>
      <c r="AP36" s="4"/>
      <c r="AQ36" s="4"/>
      <c r="AR36" s="4"/>
      <c r="AS36" s="4"/>
      <c r="AT36" s="4" t="str">
        <f>"  " &amp; "프로그램 개발" &amp; " " &amp; IF(M36="","",TEXT(M36,"M/D-")) &amp; IF(N36="","",TEXT(N36,"M/D")) &amp; " "</f>
        <v xml:space="preserve">  프로그램 개발 11/30-1/28 </v>
      </c>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row>
    <row r="37" spans="1:189" outlineLevel="3">
      <c r="A37" s="116"/>
      <c r="B37" s="116"/>
      <c r="C37" s="116">
        <v>4</v>
      </c>
      <c r="D37" s="3" t="s">
        <v>1019</v>
      </c>
      <c r="E37" s="184"/>
      <c r="F37" s="184"/>
      <c r="G37" s="184"/>
      <c r="H37" s="184" t="s">
        <v>1020</v>
      </c>
      <c r="I37" s="184"/>
      <c r="J37" s="184"/>
      <c r="K37" s="184"/>
      <c r="L37" s="184"/>
      <c r="M37" s="185">
        <v>43434</v>
      </c>
      <c r="N37" s="185">
        <v>43438</v>
      </c>
      <c r="O37" s="186"/>
      <c r="P37" s="187">
        <v>3</v>
      </c>
      <c r="Q37" s="187">
        <v>0</v>
      </c>
      <c r="R37" s="188">
        <v>3</v>
      </c>
      <c r="S37" s="188">
        <v>0</v>
      </c>
      <c r="T37" s="185"/>
      <c r="U37" s="185"/>
      <c r="V37" s="189"/>
      <c r="W37" s="190">
        <v>0</v>
      </c>
      <c r="X37" s="191">
        <v>1</v>
      </c>
      <c r="Y37" s="186" t="s">
        <v>1060</v>
      </c>
      <c r="Z37" s="192"/>
      <c r="AA37" s="97">
        <v>0</v>
      </c>
      <c r="AB37" s="193">
        <v>0</v>
      </c>
      <c r="AC37" s="123"/>
      <c r="AD37" s="4"/>
      <c r="AE37" s="4"/>
      <c r="AF37" s="4"/>
      <c r="AG37" s="4"/>
      <c r="AH37" s="4"/>
      <c r="AI37" s="4"/>
      <c r="AJ37" s="4"/>
      <c r="AK37" s="4" t="str">
        <f>"     " &amp; TEXT(AB37,"#0.00%") &amp; " " &amp; "단위테스트시나리오작성" &amp; "(김프로)" &amp; " " &amp; IF(M37="","",TEXT(M37,"M/D-")) &amp; IF(N37="","",TEXT(N37,"M/D")) &amp; " "</f>
        <v xml:space="preserve">     0.00% 단위테스트시나리오작성(김프로) 11/30-12/4 </v>
      </c>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row>
    <row r="38" spans="1:189" outlineLevel="3">
      <c r="A38" s="116"/>
      <c r="B38" s="116" t="s">
        <v>1087</v>
      </c>
      <c r="C38" s="116">
        <v>4</v>
      </c>
      <c r="D38" s="3" t="s">
        <v>1100</v>
      </c>
      <c r="E38" s="184"/>
      <c r="F38" s="184"/>
      <c r="G38" s="184"/>
      <c r="H38" s="184" t="s">
        <v>1021</v>
      </c>
      <c r="I38" s="184"/>
      <c r="J38" s="184"/>
      <c r="K38" s="184"/>
      <c r="L38" s="184"/>
      <c r="M38" s="185">
        <v>43434</v>
      </c>
      <c r="N38" s="185">
        <v>43493</v>
      </c>
      <c r="O38" s="186"/>
      <c r="P38" s="187">
        <v>124</v>
      </c>
      <c r="Q38" s="187">
        <v>0</v>
      </c>
      <c r="R38" s="188">
        <v>40</v>
      </c>
      <c r="S38" s="188">
        <v>0</v>
      </c>
      <c r="T38" s="185"/>
      <c r="U38" s="185"/>
      <c r="V38" s="189">
        <v>0</v>
      </c>
      <c r="W38" s="190">
        <v>0</v>
      </c>
      <c r="X38" s="191"/>
      <c r="Y38" s="186"/>
      <c r="Z38" s="192"/>
      <c r="AA38" s="97">
        <v>0</v>
      </c>
      <c r="AB38" s="193">
        <v>0</v>
      </c>
      <c r="AC38" s="123"/>
      <c r="AD38" s="4"/>
      <c r="AE38" s="4"/>
      <c r="AF38" s="4"/>
      <c r="AG38" s="4"/>
      <c r="AH38" s="4"/>
      <c r="AI38" s="4"/>
      <c r="AJ38" s="4"/>
      <c r="AK38" s="4" t="str">
        <f>"     " &amp; TEXT(AB38,"#0.00%") &amp; " "</f>
        <v xml:space="preserve">     0.00% </v>
      </c>
      <c r="AL38" s="4"/>
      <c r="AM38" s="4"/>
      <c r="AN38" s="4"/>
      <c r="AO38" s="4"/>
      <c r="AP38" s="4"/>
      <c r="AQ38" s="4"/>
      <c r="AR38" s="4"/>
      <c r="AS38" s="4"/>
      <c r="AT38" s="4" t="str">
        <f>"  " &amp; "프로그램코딩 및 단위테스트" &amp; " " &amp; IF(M38="","",TEXT(M38,"M/D-")) &amp; IF(N38="","",TEXT(N38,"M/D")) &amp; " "</f>
        <v xml:space="preserve">  프로그램코딩 및 단위테스트 11/30-1/28 </v>
      </c>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row>
    <row r="39" spans="1:189" outlineLevel="4">
      <c r="A39" s="116"/>
      <c r="B39" s="116" t="s">
        <v>1087</v>
      </c>
      <c r="C39" s="116">
        <v>5</v>
      </c>
      <c r="D39" s="3" t="s">
        <v>1101</v>
      </c>
      <c r="E39" s="184"/>
      <c r="F39" s="184"/>
      <c r="G39" s="184"/>
      <c r="H39" s="184"/>
      <c r="I39" s="184" t="s">
        <v>1022</v>
      </c>
      <c r="J39" s="184"/>
      <c r="K39" s="184"/>
      <c r="L39" s="184"/>
      <c r="M39" s="185">
        <v>43434</v>
      </c>
      <c r="N39" s="185">
        <v>43452</v>
      </c>
      <c r="O39" s="186"/>
      <c r="P39" s="187">
        <v>14</v>
      </c>
      <c r="Q39" s="187">
        <v>0</v>
      </c>
      <c r="R39" s="188">
        <v>13</v>
      </c>
      <c r="S39" s="188">
        <v>0</v>
      </c>
      <c r="T39" s="185"/>
      <c r="U39" s="185"/>
      <c r="V39" s="189">
        <v>0</v>
      </c>
      <c r="W39" s="190">
        <v>0</v>
      </c>
      <c r="X39" s="191"/>
      <c r="Y39" s="186"/>
      <c r="Z39" s="192"/>
      <c r="AA39" s="97">
        <v>0</v>
      </c>
      <c r="AB39" s="193">
        <v>0</v>
      </c>
      <c r="AC39" s="123"/>
      <c r="AD39" s="4"/>
      <c r="AE39" s="4"/>
      <c r="AF39" s="4"/>
      <c r="AG39" s="4"/>
      <c r="AH39" s="4"/>
      <c r="AI39" s="4"/>
      <c r="AJ39" s="4"/>
      <c r="AK39" s="4" t="str">
        <f>"     " &amp; TEXT(AB39,"#0.00%") &amp; " " &amp; "모듈A" &amp; " " &amp; IF(M39="","",TEXT(M39,"M/D-")) &amp; IF(N39="","",TEXT(N39,"M/D")) &amp; " "</f>
        <v xml:space="preserve">     0.00% 모듈A 11/30-12/18 </v>
      </c>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row>
    <row r="40" spans="1:189" outlineLevel="5">
      <c r="A40" s="116"/>
      <c r="B40" s="116"/>
      <c r="C40" s="116">
        <v>6</v>
      </c>
      <c r="D40" s="3" t="s">
        <v>1023</v>
      </c>
      <c r="E40" s="184"/>
      <c r="F40" s="184"/>
      <c r="G40" s="184"/>
      <c r="H40" s="184"/>
      <c r="I40" s="184"/>
      <c r="J40" s="184" t="s">
        <v>1024</v>
      </c>
      <c r="K40" s="184"/>
      <c r="L40" s="184"/>
      <c r="M40" s="185">
        <v>43434</v>
      </c>
      <c r="N40" s="185">
        <v>43438</v>
      </c>
      <c r="O40" s="186"/>
      <c r="P40" s="187">
        <v>3</v>
      </c>
      <c r="Q40" s="187">
        <v>0</v>
      </c>
      <c r="R40" s="188">
        <v>3</v>
      </c>
      <c r="S40" s="188">
        <v>0</v>
      </c>
      <c r="T40" s="185"/>
      <c r="U40" s="185"/>
      <c r="V40" s="189"/>
      <c r="W40" s="190">
        <v>0</v>
      </c>
      <c r="X40" s="191">
        <v>1</v>
      </c>
      <c r="Y40" s="186" t="s">
        <v>1062</v>
      </c>
      <c r="Z40" s="192"/>
      <c r="AA40" s="97">
        <v>0</v>
      </c>
      <c r="AB40" s="193">
        <v>0</v>
      </c>
      <c r="AC40" s="123"/>
      <c r="AD40" s="4"/>
      <c r="AE40" s="4"/>
      <c r="AF40" s="4"/>
      <c r="AG40" s="4"/>
      <c r="AH40" s="4"/>
      <c r="AI40" s="4"/>
      <c r="AJ40" s="4"/>
      <c r="AK40" s="4" t="str">
        <f>"     " &amp; TEXT(AB40,"#0.00%") &amp; " " &amp; "프로그램A" &amp; "(이개발)" &amp; " " &amp; IF(M40="","",TEXT(M40,"M/D-")) &amp; IF(N40="","",TEXT(N40,"M/D")) &amp; " "</f>
        <v xml:space="preserve">     0.00% 프로그램A(이개발) 11/30-12/4 </v>
      </c>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row>
    <row r="41" spans="1:189" outlineLevel="5">
      <c r="A41" s="116"/>
      <c r="B41" s="116"/>
      <c r="C41" s="116">
        <v>6</v>
      </c>
      <c r="D41" s="3" t="s">
        <v>1025</v>
      </c>
      <c r="E41" s="184"/>
      <c r="F41" s="184"/>
      <c r="G41" s="184"/>
      <c r="H41" s="184"/>
      <c r="I41" s="184"/>
      <c r="J41" s="184" t="s">
        <v>1026</v>
      </c>
      <c r="K41" s="184"/>
      <c r="L41" s="184"/>
      <c r="M41" s="185">
        <v>43441</v>
      </c>
      <c r="N41" s="185">
        <v>43445</v>
      </c>
      <c r="O41" s="186"/>
      <c r="P41" s="187">
        <v>3</v>
      </c>
      <c r="Q41" s="187">
        <v>0</v>
      </c>
      <c r="R41" s="188">
        <v>3</v>
      </c>
      <c r="S41" s="188">
        <v>0</v>
      </c>
      <c r="T41" s="185"/>
      <c r="U41" s="185"/>
      <c r="V41" s="189"/>
      <c r="W41" s="190">
        <v>0</v>
      </c>
      <c r="X41" s="191">
        <v>1</v>
      </c>
      <c r="Y41" s="186" t="s">
        <v>1063</v>
      </c>
      <c r="Z41" s="192"/>
      <c r="AA41" s="97">
        <v>0</v>
      </c>
      <c r="AB41" s="193">
        <v>0</v>
      </c>
      <c r="AC41" s="123"/>
      <c r="AD41" s="4"/>
      <c r="AE41" s="4"/>
      <c r="AF41" s="4"/>
      <c r="AG41" s="4"/>
      <c r="AH41" s="4"/>
      <c r="AI41" s="4"/>
      <c r="AJ41" s="4"/>
      <c r="AK41" s="4"/>
      <c r="AL41" s="4" t="str">
        <f>"     " &amp; TEXT(AB41,"#0.00%") &amp; " " &amp; "프로그램B" &amp; "(박개발)" &amp; " " &amp; IF(M41="","",TEXT(M41,"M/D-")) &amp; IF(N41="","",TEXT(N41,"M/D")) &amp; " "</f>
        <v xml:space="preserve">     0.00% 프로그램B(박개발) 12/7-12/11 </v>
      </c>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row>
    <row r="42" spans="1:189" outlineLevel="5">
      <c r="A42" s="116"/>
      <c r="B42" s="116"/>
      <c r="C42" s="116">
        <v>6</v>
      </c>
      <c r="D42" s="3" t="s">
        <v>1027</v>
      </c>
      <c r="E42" s="184"/>
      <c r="F42" s="184"/>
      <c r="G42" s="184"/>
      <c r="H42" s="184"/>
      <c r="I42" s="184"/>
      <c r="J42" s="184" t="s">
        <v>1028</v>
      </c>
      <c r="K42" s="184"/>
      <c r="L42" s="184"/>
      <c r="M42" s="185">
        <v>43441</v>
      </c>
      <c r="N42" s="185">
        <v>43452</v>
      </c>
      <c r="O42" s="186"/>
      <c r="P42" s="187">
        <v>8</v>
      </c>
      <c r="Q42" s="187">
        <v>0</v>
      </c>
      <c r="R42" s="188">
        <v>8</v>
      </c>
      <c r="S42" s="188">
        <v>0</v>
      </c>
      <c r="T42" s="185"/>
      <c r="U42" s="185"/>
      <c r="V42" s="189"/>
      <c r="W42" s="190">
        <v>0</v>
      </c>
      <c r="X42" s="191">
        <v>1</v>
      </c>
      <c r="Y42" s="186" t="s">
        <v>1063</v>
      </c>
      <c r="Z42" s="192"/>
      <c r="AA42" s="97">
        <v>0</v>
      </c>
      <c r="AB42" s="193">
        <v>0</v>
      </c>
      <c r="AC42" s="123"/>
      <c r="AD42" s="4"/>
      <c r="AE42" s="4"/>
      <c r="AF42" s="4"/>
      <c r="AG42" s="4"/>
      <c r="AH42" s="4"/>
      <c r="AI42" s="4"/>
      <c r="AJ42" s="4"/>
      <c r="AK42" s="4"/>
      <c r="AL42" s="4" t="str">
        <f>"     " &amp; TEXT(AB42,"#0.00%") &amp; " " &amp; "프로그램C" &amp; "(박개발)" &amp; " " &amp; IF(M42="","",TEXT(M42,"M/D-")) &amp; IF(N42="","",TEXT(N42,"M/D")) &amp; " "</f>
        <v xml:space="preserve">     0.00% 프로그램C(박개발) 12/7-12/18 </v>
      </c>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row>
    <row r="43" spans="1:189" outlineLevel="4">
      <c r="A43" s="116"/>
      <c r="B43" s="116"/>
      <c r="C43" s="116">
        <v>5</v>
      </c>
      <c r="D43" s="3" t="s">
        <v>1029</v>
      </c>
      <c r="E43" s="184"/>
      <c r="F43" s="184"/>
      <c r="G43" s="184"/>
      <c r="H43" s="184"/>
      <c r="I43" s="184" t="s">
        <v>1030</v>
      </c>
      <c r="J43" s="184"/>
      <c r="K43" s="184"/>
      <c r="L43" s="184"/>
      <c r="M43" s="185">
        <v>43434</v>
      </c>
      <c r="N43" s="185">
        <v>43493</v>
      </c>
      <c r="O43" s="186"/>
      <c r="P43" s="187">
        <v>40</v>
      </c>
      <c r="Q43" s="187">
        <v>0</v>
      </c>
      <c r="R43" s="188">
        <v>40</v>
      </c>
      <c r="S43" s="188">
        <v>0</v>
      </c>
      <c r="T43" s="185"/>
      <c r="U43" s="185"/>
      <c r="V43" s="189"/>
      <c r="W43" s="190">
        <v>0</v>
      </c>
      <c r="X43" s="191">
        <v>1</v>
      </c>
      <c r="Y43" s="186" t="s">
        <v>1064</v>
      </c>
      <c r="Z43" s="192"/>
      <c r="AA43" s="97">
        <v>0</v>
      </c>
      <c r="AB43" s="193">
        <v>0</v>
      </c>
      <c r="AC43" s="123"/>
      <c r="AD43" s="4"/>
      <c r="AE43" s="4"/>
      <c r="AF43" s="4"/>
      <c r="AG43" s="4"/>
      <c r="AH43" s="4"/>
      <c r="AI43" s="4"/>
      <c r="AJ43" s="4"/>
      <c r="AK43" s="4" t="str">
        <f>"     " &amp; TEXT(AB43,"#0.00%") &amp; " "</f>
        <v xml:space="preserve">     0.00% </v>
      </c>
      <c r="AL43" s="4"/>
      <c r="AM43" s="4"/>
      <c r="AN43" s="4"/>
      <c r="AO43" s="4"/>
      <c r="AP43" s="4"/>
      <c r="AQ43" s="4"/>
      <c r="AR43" s="4"/>
      <c r="AS43" s="4"/>
      <c r="AT43" s="4" t="str">
        <f>"  " &amp; "모듈B" &amp; "(이개발,박개발)" &amp; " " &amp; IF(M43="","",TEXT(M43,"M/D-")) &amp; IF(N43="","",TEXT(N43,"M/D")) &amp; " "</f>
        <v xml:space="preserve">  모듈B(이개발,박개발) 11/30-1/28 </v>
      </c>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row>
    <row r="44" spans="1:189" outlineLevel="4">
      <c r="A44" s="116"/>
      <c r="B44" s="116"/>
      <c r="C44" s="116">
        <v>5</v>
      </c>
      <c r="D44" s="3" t="s">
        <v>1031</v>
      </c>
      <c r="E44" s="184"/>
      <c r="F44" s="184"/>
      <c r="G44" s="184"/>
      <c r="H44" s="184"/>
      <c r="I44" s="184" t="s">
        <v>1032</v>
      </c>
      <c r="J44" s="184"/>
      <c r="K44" s="184"/>
      <c r="L44" s="184"/>
      <c r="M44" s="185">
        <v>43434</v>
      </c>
      <c r="N44" s="185">
        <v>43493</v>
      </c>
      <c r="O44" s="186"/>
      <c r="P44" s="187">
        <v>40</v>
      </c>
      <c r="Q44" s="187">
        <v>0</v>
      </c>
      <c r="R44" s="188">
        <v>40</v>
      </c>
      <c r="S44" s="188">
        <v>0</v>
      </c>
      <c r="T44" s="185"/>
      <c r="U44" s="185"/>
      <c r="V44" s="189"/>
      <c r="W44" s="190">
        <v>0</v>
      </c>
      <c r="X44" s="191">
        <v>1</v>
      </c>
      <c r="Y44" s="186" t="s">
        <v>1062</v>
      </c>
      <c r="Z44" s="192"/>
      <c r="AA44" s="97">
        <v>0</v>
      </c>
      <c r="AB44" s="193">
        <v>0</v>
      </c>
      <c r="AC44" s="123"/>
      <c r="AD44" s="4"/>
      <c r="AE44" s="4"/>
      <c r="AF44" s="4"/>
      <c r="AG44" s="4"/>
      <c r="AH44" s="4"/>
      <c r="AI44" s="4"/>
      <c r="AJ44" s="4"/>
      <c r="AK44" s="4" t="str">
        <f>"     " &amp; TEXT(AB44,"#0.00%") &amp; " "</f>
        <v xml:space="preserve">     0.00% </v>
      </c>
      <c r="AL44" s="4"/>
      <c r="AM44" s="4"/>
      <c r="AN44" s="4"/>
      <c r="AO44" s="4"/>
      <c r="AP44" s="4"/>
      <c r="AQ44" s="4"/>
      <c r="AR44" s="4"/>
      <c r="AS44" s="4"/>
      <c r="AT44" s="4" t="str">
        <f>"  " &amp; "모듈C" &amp; "(이개발)" &amp; " " &amp; IF(M44="","",TEXT(M44,"M/D-")) &amp; IF(N44="","",TEXT(N44,"M/D")) &amp; " "</f>
        <v xml:space="preserve">  모듈C(이개발) 11/30-1/28 </v>
      </c>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row>
    <row r="45" spans="1:189" outlineLevel="4">
      <c r="A45" s="116"/>
      <c r="B45" s="116"/>
      <c r="C45" s="116">
        <v>5</v>
      </c>
      <c r="D45" s="3" t="s">
        <v>1033</v>
      </c>
      <c r="E45" s="184"/>
      <c r="F45" s="184"/>
      <c r="G45" s="184"/>
      <c r="H45" s="184"/>
      <c r="I45" s="184" t="s">
        <v>1034</v>
      </c>
      <c r="J45" s="184"/>
      <c r="K45" s="184"/>
      <c r="L45" s="184"/>
      <c r="M45" s="185">
        <v>43448</v>
      </c>
      <c r="N45" s="185">
        <v>43493</v>
      </c>
      <c r="O45" s="186"/>
      <c r="P45" s="187">
        <v>30</v>
      </c>
      <c r="Q45" s="187">
        <v>0</v>
      </c>
      <c r="R45" s="188">
        <v>30</v>
      </c>
      <c r="S45" s="188">
        <v>0</v>
      </c>
      <c r="T45" s="185"/>
      <c r="U45" s="185"/>
      <c r="V45" s="189"/>
      <c r="W45" s="190">
        <v>0</v>
      </c>
      <c r="X45" s="191">
        <v>1</v>
      </c>
      <c r="Y45" s="186" t="s">
        <v>1063</v>
      </c>
      <c r="Z45" s="192"/>
      <c r="AA45" s="97">
        <v>0</v>
      </c>
      <c r="AB45" s="193">
        <v>0</v>
      </c>
      <c r="AC45" s="123"/>
      <c r="AD45" s="4"/>
      <c r="AE45" s="4"/>
      <c r="AF45" s="4"/>
      <c r="AG45" s="4"/>
      <c r="AH45" s="4"/>
      <c r="AI45" s="4"/>
      <c r="AJ45" s="4"/>
      <c r="AK45" s="4"/>
      <c r="AL45" s="4"/>
      <c r="AM45" s="4" t="str">
        <f>"     " &amp; TEXT(AB45,"#0.00%") &amp; " "</f>
        <v xml:space="preserve">     0.00% </v>
      </c>
      <c r="AN45" s="4"/>
      <c r="AO45" s="4"/>
      <c r="AP45" s="4"/>
      <c r="AQ45" s="4"/>
      <c r="AR45" s="4"/>
      <c r="AS45" s="4"/>
      <c r="AT45" s="4" t="str">
        <f>"  " &amp; "모듈D" &amp; "(박개발)" &amp; " " &amp; IF(M45="","",TEXT(M45,"M/D-")) &amp; IF(N45="","",TEXT(N45,"M/D")) &amp; " "</f>
        <v xml:space="preserve">  모듈D(박개발) 12/14-1/28 </v>
      </c>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row>
    <row r="46" spans="1:189" outlineLevel="2">
      <c r="A46" s="116"/>
      <c r="B46" s="116" t="s">
        <v>1087</v>
      </c>
      <c r="C46" s="116">
        <v>3</v>
      </c>
      <c r="D46" s="3" t="s">
        <v>1102</v>
      </c>
      <c r="E46" s="184"/>
      <c r="F46" s="184"/>
      <c r="G46" s="184" t="s">
        <v>1035</v>
      </c>
      <c r="H46" s="184"/>
      <c r="I46" s="184"/>
      <c r="J46" s="184"/>
      <c r="K46" s="184"/>
      <c r="L46" s="184"/>
      <c r="M46" s="185">
        <v>43476</v>
      </c>
      <c r="N46" s="185">
        <v>43501</v>
      </c>
      <c r="O46" s="186"/>
      <c r="P46" s="187">
        <v>14</v>
      </c>
      <c r="Q46" s="187">
        <v>0</v>
      </c>
      <c r="R46" s="188">
        <v>16</v>
      </c>
      <c r="S46" s="188">
        <v>0</v>
      </c>
      <c r="T46" s="185"/>
      <c r="U46" s="185"/>
      <c r="V46" s="189">
        <v>0</v>
      </c>
      <c r="W46" s="190">
        <v>0</v>
      </c>
      <c r="X46" s="191"/>
      <c r="Y46" s="186"/>
      <c r="Z46" s="192"/>
      <c r="AA46" s="97">
        <v>0</v>
      </c>
      <c r="AB46" s="193">
        <v>0</v>
      </c>
      <c r="AC46" s="123"/>
      <c r="AD46" s="4"/>
      <c r="AE46" s="4"/>
      <c r="AF46" s="4"/>
      <c r="AG46" s="4"/>
      <c r="AH46" s="4"/>
      <c r="AI46" s="4"/>
      <c r="AJ46" s="4"/>
      <c r="AK46" s="4"/>
      <c r="AL46" s="4"/>
      <c r="AM46" s="4"/>
      <c r="AN46" s="4"/>
      <c r="AO46" s="4"/>
      <c r="AP46" s="4"/>
      <c r="AQ46" s="4" t="str">
        <f>"     " &amp; TEXT(AB46,"#0.00%") &amp; " "</f>
        <v xml:space="preserve">     0.00% </v>
      </c>
      <c r="AR46" s="4"/>
      <c r="AS46" s="4"/>
      <c r="AT46" s="4"/>
      <c r="AU46" s="4" t="str">
        <f>"   " &amp; "테스트실시" &amp; " " &amp; IF(M46="","",TEXT(M46,"M/D-")) &amp; IF(N46="","",TEXT(N46,"M/D")) &amp; " "</f>
        <v xml:space="preserve">   테스트실시 1/11-2/5 </v>
      </c>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row>
    <row r="47" spans="1:189" outlineLevel="3">
      <c r="A47" s="116"/>
      <c r="B47" s="116"/>
      <c r="C47" s="116">
        <v>4</v>
      </c>
      <c r="D47" s="3" t="s">
        <v>1036</v>
      </c>
      <c r="E47" s="184"/>
      <c r="F47" s="184"/>
      <c r="G47" s="184"/>
      <c r="H47" s="184" t="s">
        <v>1037</v>
      </c>
      <c r="I47" s="184"/>
      <c r="J47" s="184"/>
      <c r="K47" s="184"/>
      <c r="L47" s="184"/>
      <c r="M47" s="185">
        <v>43476</v>
      </c>
      <c r="N47" s="185">
        <v>43494</v>
      </c>
      <c r="O47" s="186"/>
      <c r="P47" s="187">
        <v>13</v>
      </c>
      <c r="Q47" s="187">
        <v>0</v>
      </c>
      <c r="R47" s="188">
        <v>13</v>
      </c>
      <c r="S47" s="188">
        <v>0</v>
      </c>
      <c r="T47" s="185"/>
      <c r="U47" s="185"/>
      <c r="V47" s="189"/>
      <c r="W47" s="190">
        <v>0</v>
      </c>
      <c r="X47" s="191">
        <v>1</v>
      </c>
      <c r="Y47" s="186" t="s">
        <v>1060</v>
      </c>
      <c r="Z47" s="192"/>
      <c r="AA47" s="97">
        <v>0</v>
      </c>
      <c r="AB47" s="193">
        <v>0</v>
      </c>
      <c r="AC47" s="123"/>
      <c r="AD47" s="4"/>
      <c r="AE47" s="4"/>
      <c r="AF47" s="4"/>
      <c r="AG47" s="4"/>
      <c r="AH47" s="4"/>
      <c r="AI47" s="4"/>
      <c r="AJ47" s="4"/>
      <c r="AK47" s="4"/>
      <c r="AL47" s="4"/>
      <c r="AM47" s="4"/>
      <c r="AN47" s="4"/>
      <c r="AO47" s="4"/>
      <c r="AP47" s="4"/>
      <c r="AQ47" s="4" t="str">
        <f>"     " &amp; TEXT(AB47,"#0.00%") &amp; " " &amp; "통합테스트실시" &amp; "(김프로)" &amp; " " &amp; IF(M47="","",TEXT(M47,"M/D-")) &amp; IF(N47="","",TEXT(N47,"M/D")) &amp; " "</f>
        <v xml:space="preserve">     0.00% 통합테스트실시(김프로) 1/11-1/29 </v>
      </c>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row>
    <row r="48" spans="1:189" outlineLevel="3">
      <c r="A48" s="116"/>
      <c r="B48" s="116"/>
      <c r="C48" s="116">
        <v>4</v>
      </c>
      <c r="D48" s="3" t="s">
        <v>1038</v>
      </c>
      <c r="E48" s="184"/>
      <c r="F48" s="184"/>
      <c r="G48" s="184"/>
      <c r="H48" s="184" t="s">
        <v>1039</v>
      </c>
      <c r="I48" s="184"/>
      <c r="J48" s="184"/>
      <c r="K48" s="184"/>
      <c r="L48" s="184"/>
      <c r="M48" s="185">
        <v>43497</v>
      </c>
      <c r="N48" s="185">
        <v>43501</v>
      </c>
      <c r="O48" s="186"/>
      <c r="P48" s="187">
        <v>1</v>
      </c>
      <c r="Q48" s="187">
        <v>0</v>
      </c>
      <c r="R48" s="188">
        <v>1</v>
      </c>
      <c r="S48" s="188">
        <v>0</v>
      </c>
      <c r="T48" s="185"/>
      <c r="U48" s="185"/>
      <c r="V48" s="189"/>
      <c r="W48" s="190">
        <v>0</v>
      </c>
      <c r="X48" s="191">
        <v>1</v>
      </c>
      <c r="Y48" s="186" t="s">
        <v>1060</v>
      </c>
      <c r="Z48" s="192"/>
      <c r="AA48" s="97">
        <v>0</v>
      </c>
      <c r="AB48" s="193">
        <v>0</v>
      </c>
      <c r="AC48" s="123"/>
      <c r="AD48" s="4"/>
      <c r="AE48" s="4"/>
      <c r="AF48" s="4"/>
      <c r="AG48" s="4"/>
      <c r="AH48" s="4"/>
      <c r="AI48" s="4"/>
      <c r="AJ48" s="4"/>
      <c r="AK48" s="4"/>
      <c r="AL48" s="4"/>
      <c r="AM48" s="4"/>
      <c r="AN48" s="4"/>
      <c r="AO48" s="4"/>
      <c r="AP48" s="4"/>
      <c r="AQ48" s="4"/>
      <c r="AR48" s="4"/>
      <c r="AS48" s="4"/>
      <c r="AT48" s="4" t="str">
        <f>"     " &amp; TEXT(AB48,"#0.00%") &amp; " " &amp; "시스템테스트실시" &amp; "(김프로)" &amp; " " &amp; IF(M48="","",TEXT(M48,"M/D-")) &amp; IF(N48="","",TEXT(N48,"M/D")) &amp; " "</f>
        <v xml:space="preserve">     0.00% 시스템테스트실시(김프로) 2/1-2/5 </v>
      </c>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row>
    <row r="49" spans="1:189" outlineLevel="1">
      <c r="A49" s="116"/>
      <c r="B49" s="116" t="s">
        <v>1087</v>
      </c>
      <c r="C49" s="116">
        <v>2</v>
      </c>
      <c r="D49" s="3" t="s">
        <v>1103</v>
      </c>
      <c r="E49" s="184"/>
      <c r="F49" s="184" t="s">
        <v>1040</v>
      </c>
      <c r="G49" s="184"/>
      <c r="H49" s="184"/>
      <c r="I49" s="184"/>
      <c r="J49" s="184"/>
      <c r="K49" s="184"/>
      <c r="L49" s="184"/>
      <c r="M49" s="185">
        <v>43497</v>
      </c>
      <c r="N49" s="185">
        <v>43504</v>
      </c>
      <c r="O49" s="186"/>
      <c r="P49" s="187">
        <v>5</v>
      </c>
      <c r="Q49" s="187">
        <v>0</v>
      </c>
      <c r="R49" s="188">
        <v>3</v>
      </c>
      <c r="S49" s="188">
        <v>0</v>
      </c>
      <c r="T49" s="185"/>
      <c r="U49" s="185"/>
      <c r="V49" s="189">
        <v>0</v>
      </c>
      <c r="W49" s="190">
        <v>0</v>
      </c>
      <c r="X49" s="191"/>
      <c r="Y49" s="186"/>
      <c r="Z49" s="192"/>
      <c r="AA49" s="97">
        <v>0</v>
      </c>
      <c r="AB49" s="193">
        <v>0</v>
      </c>
      <c r="AC49" s="123"/>
      <c r="AD49" s="4"/>
      <c r="AE49" s="4"/>
      <c r="AF49" s="4"/>
      <c r="AG49" s="4"/>
      <c r="AH49" s="4"/>
      <c r="AI49" s="4"/>
      <c r="AJ49" s="4"/>
      <c r="AK49" s="4"/>
      <c r="AL49" s="4"/>
      <c r="AM49" s="4"/>
      <c r="AN49" s="4"/>
      <c r="AO49" s="4"/>
      <c r="AP49" s="4"/>
      <c r="AQ49" s="4"/>
      <c r="AR49" s="4"/>
      <c r="AS49" s="4"/>
      <c r="AT49" s="4" t="str">
        <f>"     " &amp; TEXT(AB49,"#0.00%") &amp; " " &amp; "구현" &amp; " " &amp; IF(M49="","",TEXT(M49,"M/D-")) &amp; IF(N49="","",TEXT(N49,"M/D")) &amp; " "</f>
        <v xml:space="preserve">     0.00% 구현 2/1-2/8 </v>
      </c>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row>
    <row r="50" spans="1:189" outlineLevel="2">
      <c r="A50" s="116"/>
      <c r="B50" s="116" t="s">
        <v>1087</v>
      </c>
      <c r="C50" s="116">
        <v>3</v>
      </c>
      <c r="D50" s="3" t="s">
        <v>1104</v>
      </c>
      <c r="E50" s="184"/>
      <c r="F50" s="184"/>
      <c r="G50" s="184" t="s">
        <v>1041</v>
      </c>
      <c r="H50" s="184"/>
      <c r="I50" s="184"/>
      <c r="J50" s="184"/>
      <c r="K50" s="184"/>
      <c r="L50" s="184"/>
      <c r="M50" s="185">
        <v>43497</v>
      </c>
      <c r="N50" s="185">
        <v>43499</v>
      </c>
      <c r="O50" s="186"/>
      <c r="P50" s="187">
        <v>1</v>
      </c>
      <c r="Q50" s="187">
        <v>0</v>
      </c>
      <c r="R50" s="188">
        <v>1</v>
      </c>
      <c r="S50" s="188">
        <v>0</v>
      </c>
      <c r="T50" s="185"/>
      <c r="U50" s="185"/>
      <c r="V50" s="189">
        <v>0</v>
      </c>
      <c r="W50" s="190">
        <v>0</v>
      </c>
      <c r="X50" s="191"/>
      <c r="Y50" s="186"/>
      <c r="Z50" s="192"/>
      <c r="AA50" s="97">
        <v>0</v>
      </c>
      <c r="AB50" s="193">
        <v>0</v>
      </c>
      <c r="AC50" s="123"/>
      <c r="AD50" s="4"/>
      <c r="AE50" s="4"/>
      <c r="AF50" s="4"/>
      <c r="AG50" s="4"/>
      <c r="AH50" s="4"/>
      <c r="AI50" s="4"/>
      <c r="AJ50" s="4"/>
      <c r="AK50" s="4"/>
      <c r="AL50" s="4"/>
      <c r="AM50" s="4"/>
      <c r="AN50" s="4"/>
      <c r="AO50" s="4"/>
      <c r="AP50" s="4"/>
      <c r="AQ50" s="4"/>
      <c r="AR50" s="4"/>
      <c r="AS50" s="4"/>
      <c r="AT50" s="4" t="str">
        <f>"     " &amp; TEXT(AB50,"#0.00%") &amp; " " &amp; "구현준비" &amp; " " &amp; IF(M50="","",TEXT(M50,"M/D-")) &amp; IF(N50="","",TEXT(N50,"M/D")) &amp; " "</f>
        <v xml:space="preserve">     0.00% 구현준비 2/1-2/3 </v>
      </c>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row>
    <row r="51" spans="1:189" outlineLevel="3">
      <c r="A51" s="116"/>
      <c r="B51" s="116"/>
      <c r="C51" s="116">
        <v>4</v>
      </c>
      <c r="D51" s="3" t="s">
        <v>1042</v>
      </c>
      <c r="E51" s="184"/>
      <c r="F51" s="184"/>
      <c r="G51" s="184"/>
      <c r="H51" s="184" t="s">
        <v>1043</v>
      </c>
      <c r="I51" s="184"/>
      <c r="J51" s="184"/>
      <c r="K51" s="184"/>
      <c r="L51" s="184"/>
      <c r="M51" s="185">
        <v>43497</v>
      </c>
      <c r="N51" s="185">
        <v>43499</v>
      </c>
      <c r="O51" s="186"/>
      <c r="P51" s="187">
        <v>1</v>
      </c>
      <c r="Q51" s="187">
        <v>0</v>
      </c>
      <c r="R51" s="188">
        <v>1</v>
      </c>
      <c r="S51" s="188">
        <v>0</v>
      </c>
      <c r="T51" s="185"/>
      <c r="U51" s="185"/>
      <c r="V51" s="189"/>
      <c r="W51" s="190">
        <v>0</v>
      </c>
      <c r="X51" s="191">
        <v>1</v>
      </c>
      <c r="Y51" s="186" t="s">
        <v>1060</v>
      </c>
      <c r="Z51" s="192"/>
      <c r="AA51" s="97">
        <v>0</v>
      </c>
      <c r="AB51" s="193">
        <v>0</v>
      </c>
      <c r="AC51" s="123"/>
      <c r="AD51" s="4"/>
      <c r="AE51" s="4"/>
      <c r="AF51" s="4"/>
      <c r="AG51" s="4"/>
      <c r="AH51" s="4"/>
      <c r="AI51" s="4"/>
      <c r="AJ51" s="4"/>
      <c r="AK51" s="4"/>
      <c r="AL51" s="4"/>
      <c r="AM51" s="4"/>
      <c r="AN51" s="4"/>
      <c r="AO51" s="4"/>
      <c r="AP51" s="4"/>
      <c r="AQ51" s="4"/>
      <c r="AR51" s="4"/>
      <c r="AS51" s="4"/>
      <c r="AT51" s="4" t="str">
        <f>"     " &amp; TEXT(AB51,"#0.00%") &amp; " " &amp; "Release 및 Contingency plan수립" &amp; "(김프로)" &amp; " " &amp; IF(M51="","",TEXT(M51,"M/D-")) &amp; IF(N51="","",TEXT(N51,"M/D")) &amp; " "</f>
        <v xml:space="preserve">     0.00% Release 및 Contingency plan수립(김프로) 2/1-2/3 </v>
      </c>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row>
    <row r="52" spans="1:189" outlineLevel="2">
      <c r="A52" s="116"/>
      <c r="B52" s="116" t="s">
        <v>1087</v>
      </c>
      <c r="C52" s="116">
        <v>3</v>
      </c>
      <c r="D52" s="3" t="s">
        <v>1105</v>
      </c>
      <c r="E52" s="184"/>
      <c r="F52" s="184"/>
      <c r="G52" s="184" t="s">
        <v>1044</v>
      </c>
      <c r="H52" s="184"/>
      <c r="I52" s="184"/>
      <c r="J52" s="184"/>
      <c r="K52" s="184"/>
      <c r="L52" s="184"/>
      <c r="M52" s="185">
        <v>43501</v>
      </c>
      <c r="N52" s="185">
        <v>43504</v>
      </c>
      <c r="O52" s="186"/>
      <c r="P52" s="187">
        <v>4</v>
      </c>
      <c r="Q52" s="187">
        <v>0</v>
      </c>
      <c r="R52" s="188">
        <v>2</v>
      </c>
      <c r="S52" s="188">
        <v>0</v>
      </c>
      <c r="T52" s="185"/>
      <c r="U52" s="185"/>
      <c r="V52" s="189">
        <v>0</v>
      </c>
      <c r="W52" s="190">
        <v>0</v>
      </c>
      <c r="X52" s="191"/>
      <c r="Y52" s="186"/>
      <c r="Z52" s="192"/>
      <c r="AA52" s="97">
        <v>0</v>
      </c>
      <c r="AB52" s="193">
        <v>0</v>
      </c>
      <c r="AC52" s="123"/>
      <c r="AD52" s="4"/>
      <c r="AE52" s="4"/>
      <c r="AF52" s="4"/>
      <c r="AG52" s="4"/>
      <c r="AH52" s="4"/>
      <c r="AI52" s="4"/>
      <c r="AJ52" s="4"/>
      <c r="AK52" s="4"/>
      <c r="AL52" s="4"/>
      <c r="AM52" s="4"/>
      <c r="AN52" s="4"/>
      <c r="AO52" s="4"/>
      <c r="AP52" s="4"/>
      <c r="AQ52" s="4"/>
      <c r="AR52" s="4"/>
      <c r="AS52" s="4"/>
      <c r="AT52" s="4"/>
      <c r="AU52" s="4" t="str">
        <f>"  " &amp; TEXT(AB52,"#0.00%") &amp; " " &amp; "Conversion 및 Release" &amp; " " &amp; IF(M52="","",TEXT(M52,"M/D-")) &amp; IF(N52="","",TEXT(N52,"M/D")) &amp; " "</f>
        <v xml:space="preserve">  0.00% Conversion 및 Release 2/5-2/8 </v>
      </c>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row>
    <row r="53" spans="1:189" outlineLevel="3">
      <c r="A53" s="116"/>
      <c r="B53" s="116"/>
      <c r="C53" s="116">
        <v>4</v>
      </c>
      <c r="D53" s="3" t="s">
        <v>1045</v>
      </c>
      <c r="E53" s="184"/>
      <c r="F53" s="184"/>
      <c r="G53" s="184"/>
      <c r="H53" s="184" t="s">
        <v>1046</v>
      </c>
      <c r="I53" s="184"/>
      <c r="J53" s="184"/>
      <c r="K53" s="184"/>
      <c r="L53" s="184"/>
      <c r="M53" s="185">
        <v>43501</v>
      </c>
      <c r="N53" s="185">
        <v>43503</v>
      </c>
      <c r="O53" s="186"/>
      <c r="P53" s="187">
        <v>1</v>
      </c>
      <c r="Q53" s="187">
        <v>0</v>
      </c>
      <c r="R53" s="188">
        <v>1</v>
      </c>
      <c r="S53" s="188">
        <v>0</v>
      </c>
      <c r="T53" s="185"/>
      <c r="U53" s="185"/>
      <c r="V53" s="189"/>
      <c r="W53" s="190">
        <v>0</v>
      </c>
      <c r="X53" s="191">
        <v>1</v>
      </c>
      <c r="Y53" s="186" t="s">
        <v>1065</v>
      </c>
      <c r="Z53" s="192"/>
      <c r="AA53" s="97">
        <v>0</v>
      </c>
      <c r="AB53" s="193">
        <v>0</v>
      </c>
      <c r="AC53" s="123"/>
      <c r="AD53" s="4"/>
      <c r="AE53" s="4"/>
      <c r="AF53" s="4"/>
      <c r="AG53" s="4"/>
      <c r="AH53" s="4"/>
      <c r="AI53" s="4"/>
      <c r="AJ53" s="4"/>
      <c r="AK53" s="4"/>
      <c r="AL53" s="4"/>
      <c r="AM53" s="4"/>
      <c r="AN53" s="4"/>
      <c r="AO53" s="4"/>
      <c r="AP53" s="4"/>
      <c r="AQ53" s="4"/>
      <c r="AR53" s="4"/>
      <c r="AS53" s="4"/>
      <c r="AT53" s="4"/>
      <c r="AU53" s="4" t="str">
        <f>"  " &amp; TEXT(AB53,"#0.00%") &amp; " " &amp; "데이터베이스구축" &amp; "(김프로,김디비)" &amp; " " &amp; IF(M53="","",TEXT(M53,"M/D-")) &amp; IF(N53="","",TEXT(N53,"M/D")) &amp; " "</f>
        <v xml:space="preserve">  0.00% 데이터베이스구축(김프로,김디비) 2/5-2/7 </v>
      </c>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row>
    <row r="54" spans="1:189" outlineLevel="3">
      <c r="A54" s="116"/>
      <c r="B54" s="116"/>
      <c r="C54" s="116">
        <v>4</v>
      </c>
      <c r="D54" s="3" t="s">
        <v>1047</v>
      </c>
      <c r="E54" s="184"/>
      <c r="F54" s="184"/>
      <c r="G54" s="184"/>
      <c r="H54" s="184" t="s">
        <v>1048</v>
      </c>
      <c r="I54" s="184"/>
      <c r="J54" s="184"/>
      <c r="K54" s="184"/>
      <c r="L54" s="184"/>
      <c r="M54" s="185">
        <v>43501</v>
      </c>
      <c r="N54" s="185">
        <v>43503</v>
      </c>
      <c r="O54" s="186"/>
      <c r="P54" s="187">
        <v>1</v>
      </c>
      <c r="Q54" s="187">
        <v>0</v>
      </c>
      <c r="R54" s="188">
        <v>1</v>
      </c>
      <c r="S54" s="188">
        <v>0</v>
      </c>
      <c r="T54" s="185"/>
      <c r="U54" s="185"/>
      <c r="V54" s="189"/>
      <c r="W54" s="190">
        <v>0</v>
      </c>
      <c r="X54" s="191">
        <v>1</v>
      </c>
      <c r="Y54" s="186" t="s">
        <v>1066</v>
      </c>
      <c r="Z54" s="192"/>
      <c r="AA54" s="97">
        <v>0</v>
      </c>
      <c r="AB54" s="193">
        <v>0</v>
      </c>
      <c r="AC54" s="123"/>
      <c r="AD54" s="4"/>
      <c r="AE54" s="4"/>
      <c r="AF54" s="4"/>
      <c r="AG54" s="4"/>
      <c r="AH54" s="4"/>
      <c r="AI54" s="4"/>
      <c r="AJ54" s="4"/>
      <c r="AK54" s="4"/>
      <c r="AL54" s="4"/>
      <c r="AM54" s="4"/>
      <c r="AN54" s="4"/>
      <c r="AO54" s="4"/>
      <c r="AP54" s="4"/>
      <c r="AQ54" s="4"/>
      <c r="AR54" s="4"/>
      <c r="AS54" s="4"/>
      <c r="AT54" s="4"/>
      <c r="AU54" s="4" t="str">
        <f>"  " &amp; TEXT(AB54,"#0.00%") &amp; " " &amp; "소프트웨어설치" &amp; "(김프로,이개발)" &amp; " " &amp; IF(M54="","",TEXT(M54,"M/D-")) &amp; IF(N54="","",TEXT(N54,"M/D")) &amp; " "</f>
        <v xml:space="preserve">  0.00% 소프트웨어설치(김프로,이개발) 2/5-2/7 </v>
      </c>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row>
    <row r="55" spans="1:189" outlineLevel="3">
      <c r="A55" s="116"/>
      <c r="B55" s="116"/>
      <c r="C55" s="116">
        <v>4</v>
      </c>
      <c r="D55" s="3" t="s">
        <v>1049</v>
      </c>
      <c r="E55" s="184"/>
      <c r="F55" s="184"/>
      <c r="G55" s="184"/>
      <c r="H55" s="184" t="s">
        <v>1050</v>
      </c>
      <c r="I55" s="184"/>
      <c r="J55" s="184"/>
      <c r="K55" s="184"/>
      <c r="L55" s="184"/>
      <c r="M55" s="185">
        <v>43501</v>
      </c>
      <c r="N55" s="185">
        <v>43503</v>
      </c>
      <c r="O55" s="186"/>
      <c r="P55" s="187">
        <v>1</v>
      </c>
      <c r="Q55" s="187">
        <v>0</v>
      </c>
      <c r="R55" s="188">
        <v>1</v>
      </c>
      <c r="S55" s="188">
        <v>0</v>
      </c>
      <c r="T55" s="185"/>
      <c r="U55" s="185"/>
      <c r="V55" s="189"/>
      <c r="W55" s="190">
        <v>0</v>
      </c>
      <c r="X55" s="191">
        <v>1</v>
      </c>
      <c r="Y55" s="186" t="s">
        <v>1066</v>
      </c>
      <c r="Z55" s="192"/>
      <c r="AA55" s="97">
        <v>0</v>
      </c>
      <c r="AB55" s="193">
        <v>0</v>
      </c>
      <c r="AC55" s="123"/>
      <c r="AD55" s="4"/>
      <c r="AE55" s="4"/>
      <c r="AF55" s="4"/>
      <c r="AG55" s="4"/>
      <c r="AH55" s="4"/>
      <c r="AI55" s="4"/>
      <c r="AJ55" s="4"/>
      <c r="AK55" s="4"/>
      <c r="AL55" s="4"/>
      <c r="AM55" s="4"/>
      <c r="AN55" s="4"/>
      <c r="AO55" s="4"/>
      <c r="AP55" s="4"/>
      <c r="AQ55" s="4"/>
      <c r="AR55" s="4"/>
      <c r="AS55" s="4"/>
      <c r="AT55" s="4"/>
      <c r="AU55" s="4" t="str">
        <f>"  " &amp; TEXT(AB55,"#0.00%") &amp; " " &amp; "인수테스트실시" &amp; "(김프로,이개발)" &amp; " " &amp; IF(M55="","",TEXT(M55,"M/D-")) &amp; IF(N55="","",TEXT(N55,"M/D")) &amp; " "</f>
        <v xml:space="preserve">  0.00% 인수테스트실시(김프로,이개발) 2/5-2/7 </v>
      </c>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row>
    <row r="56" spans="1:189" outlineLevel="3">
      <c r="A56" s="116"/>
      <c r="B56" s="116"/>
      <c r="C56" s="116">
        <v>4</v>
      </c>
      <c r="D56" s="3" t="s">
        <v>1051</v>
      </c>
      <c r="E56" s="184"/>
      <c r="F56" s="184"/>
      <c r="G56" s="184"/>
      <c r="H56" s="184" t="s">
        <v>1052</v>
      </c>
      <c r="I56" s="184"/>
      <c r="J56" s="184"/>
      <c r="K56" s="184"/>
      <c r="L56" s="184"/>
      <c r="M56" s="185">
        <v>43504</v>
      </c>
      <c r="N56" s="185">
        <v>43504</v>
      </c>
      <c r="O56" s="186"/>
      <c r="P56" s="187">
        <v>1</v>
      </c>
      <c r="Q56" s="187">
        <v>0</v>
      </c>
      <c r="R56" s="188">
        <v>1</v>
      </c>
      <c r="S56" s="188">
        <v>0</v>
      </c>
      <c r="T56" s="185"/>
      <c r="U56" s="185"/>
      <c r="V56" s="189"/>
      <c r="W56" s="190">
        <v>0</v>
      </c>
      <c r="X56" s="191">
        <v>1</v>
      </c>
      <c r="Y56" s="186" t="s">
        <v>1060</v>
      </c>
      <c r="Z56" s="192"/>
      <c r="AA56" s="97">
        <v>0</v>
      </c>
      <c r="AB56" s="193">
        <v>0</v>
      </c>
      <c r="AC56" s="123"/>
      <c r="AD56" s="4"/>
      <c r="AE56" s="4"/>
      <c r="AF56" s="4"/>
      <c r="AG56" s="4"/>
      <c r="AH56" s="4"/>
      <c r="AI56" s="4"/>
      <c r="AJ56" s="4"/>
      <c r="AK56" s="4"/>
      <c r="AL56" s="4"/>
      <c r="AM56" s="4"/>
      <c r="AN56" s="4"/>
      <c r="AO56" s="4"/>
      <c r="AP56" s="4"/>
      <c r="AQ56" s="4"/>
      <c r="AR56" s="4"/>
      <c r="AS56" s="4"/>
      <c r="AT56" s="4"/>
      <c r="AU56" s="4" t="str">
        <f>"     " &amp; TEXT(AB56,"#0.00%") &amp; " " &amp; "시스템오픈" &amp; "(김프로)" &amp; " " &amp; IF(M56="","",TEXT(M56,"M/D-")) &amp; IF(N56="","",TEXT(N56,"M/D")) &amp; " "</f>
        <v xml:space="preserve">     0.00% 시스템오픈(김프로) 2/8-2/8 </v>
      </c>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row>
    <row r="57" spans="1:189">
      <c r="A57" s="194"/>
      <c r="B57" s="194"/>
      <c r="C57" s="194"/>
      <c r="D57" s="195"/>
      <c r="E57" s="196"/>
      <c r="F57" s="196"/>
      <c r="G57" s="196"/>
      <c r="H57" s="196"/>
      <c r="I57" s="196"/>
      <c r="J57" s="196"/>
      <c r="K57" s="196"/>
      <c r="L57" s="196"/>
      <c r="M57" s="197"/>
      <c r="N57" s="197"/>
      <c r="O57" s="198"/>
      <c r="P57" s="199"/>
      <c r="Q57" s="199"/>
      <c r="R57" s="200"/>
      <c r="S57" s="200"/>
      <c r="T57" s="197"/>
      <c r="U57" s="197"/>
      <c r="V57" s="201"/>
      <c r="W57" s="202"/>
      <c r="X57" s="203"/>
      <c r="Y57" s="198"/>
      <c r="Z57" s="204"/>
      <c r="AA57" s="205"/>
      <c r="AB57" s="206"/>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82"/>
      <c r="BB57" s="182"/>
      <c r="BC57" s="182"/>
      <c r="BD57" s="182"/>
      <c r="BE57" s="182"/>
      <c r="BF57" s="182"/>
      <c r="BG57" s="182"/>
      <c r="BH57" s="182"/>
      <c r="BI57" s="182"/>
      <c r="BJ57" s="182"/>
      <c r="BK57" s="182"/>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c r="DA57" s="182"/>
      <c r="DB57" s="182"/>
      <c r="DC57" s="182"/>
      <c r="DD57" s="182"/>
      <c r="DE57" s="182"/>
      <c r="DF57" s="182"/>
      <c r="DG57" s="182"/>
      <c r="DH57" s="182"/>
      <c r="DI57" s="182"/>
      <c r="DJ57" s="182"/>
      <c r="DK57" s="182"/>
      <c r="DL57" s="182"/>
      <c r="DM57" s="182"/>
      <c r="DN57" s="182"/>
      <c r="DO57" s="182"/>
      <c r="DP57" s="182"/>
      <c r="DQ57" s="182"/>
      <c r="DR57" s="182"/>
      <c r="DS57" s="182"/>
      <c r="DT57" s="182"/>
      <c r="DU57" s="182"/>
      <c r="DV57" s="182"/>
      <c r="DW57" s="182"/>
      <c r="DX57" s="182"/>
      <c r="DY57" s="182"/>
      <c r="DZ57" s="182"/>
      <c r="EA57" s="182"/>
      <c r="EB57" s="182"/>
      <c r="EC57" s="182"/>
      <c r="ED57" s="182"/>
      <c r="EE57" s="182"/>
      <c r="EF57" s="182"/>
      <c r="EG57" s="182"/>
      <c r="EH57" s="182"/>
      <c r="EI57" s="182"/>
      <c r="EJ57" s="182"/>
      <c r="EK57" s="182"/>
      <c r="EL57" s="182"/>
      <c r="EM57" s="182"/>
      <c r="EN57" s="182"/>
      <c r="EO57" s="182"/>
      <c r="EP57" s="182"/>
      <c r="EQ57" s="182"/>
      <c r="ER57" s="182"/>
      <c r="ES57" s="182"/>
      <c r="ET57" s="182"/>
      <c r="EU57" s="182"/>
      <c r="EV57" s="182"/>
      <c r="EW57" s="182"/>
      <c r="EX57" s="182"/>
      <c r="EY57" s="182"/>
      <c r="EZ57" s="182"/>
      <c r="FA57" s="182"/>
      <c r="FB57" s="182"/>
      <c r="FC57" s="182"/>
      <c r="FD57" s="182"/>
      <c r="FE57" s="182"/>
      <c r="FF57" s="182"/>
      <c r="FG57" s="182"/>
      <c r="FH57" s="182"/>
      <c r="FI57" s="182"/>
      <c r="FJ57" s="182"/>
      <c r="FK57" s="182"/>
      <c r="FL57" s="182"/>
      <c r="FM57" s="182"/>
      <c r="FN57" s="182"/>
      <c r="FO57" s="182"/>
      <c r="FP57" s="182"/>
      <c r="FQ57" s="182"/>
      <c r="FR57" s="182"/>
      <c r="FS57" s="182"/>
      <c r="FT57" s="182"/>
      <c r="FU57" s="182"/>
      <c r="FV57" s="182"/>
      <c r="FW57" s="182"/>
      <c r="FX57" s="182"/>
      <c r="FY57" s="182"/>
      <c r="FZ57" s="182"/>
      <c r="GA57" s="182"/>
      <c r="GB57" s="182"/>
      <c r="GC57" s="182"/>
      <c r="GD57" s="182"/>
      <c r="GE57" s="182"/>
      <c r="GF57" s="182"/>
      <c r="GG57" s="182"/>
    </row>
    <row r="58" spans="1:189">
      <c r="A58" s="116"/>
      <c r="B58" s="116"/>
      <c r="C58" s="116"/>
      <c r="D58" s="3"/>
      <c r="E58" s="184"/>
      <c r="F58" s="18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189">
      <c r="A59" s="116"/>
      <c r="B59" s="116"/>
      <c r="C59" s="116"/>
      <c r="D59" s="3"/>
      <c r="E59" s="184"/>
      <c r="F59" s="184"/>
      <c r="G59" s="184"/>
      <c r="H59" s="184"/>
      <c r="I59" s="184"/>
      <c r="J59" s="184"/>
      <c r="K59" s="184"/>
      <c r="L59" s="184"/>
      <c r="M59" s="185"/>
      <c r="N59" s="185"/>
      <c r="O59" s="186"/>
      <c r="P59" s="187"/>
      <c r="Q59" s="187"/>
      <c r="R59" s="188"/>
      <c r="S59" s="188"/>
      <c r="T59" s="185"/>
      <c r="U59" s="185"/>
      <c r="V59" s="189"/>
      <c r="W59" s="190"/>
      <c r="X59" s="191"/>
      <c r="Y59" s="186"/>
      <c r="Z59" s="192"/>
      <c r="AA59" s="97"/>
      <c r="AB59" s="193"/>
    </row>
    <row r="60" spans="1:189">
      <c r="A60" s="116"/>
      <c r="B60" s="116"/>
      <c r="C60" s="116"/>
      <c r="D60" s="3"/>
      <c r="E60" s="184"/>
      <c r="F60" s="18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189">
      <c r="A61" s="116"/>
      <c r="B61" s="116"/>
      <c r="C61" s="116"/>
      <c r="D61" s="3"/>
      <c r="E61" s="184"/>
      <c r="F61" s="18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189">
      <c r="A62" s="116"/>
      <c r="B62" s="116"/>
      <c r="C62" s="116"/>
      <c r="D62" s="3"/>
      <c r="E62" s="184"/>
      <c r="F62" s="18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189">
      <c r="A63" s="116"/>
      <c r="B63" s="116"/>
      <c r="C63" s="116"/>
      <c r="D63" s="3"/>
      <c r="E63" s="184"/>
      <c r="F63" s="18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189">
      <c r="A64" s="116"/>
      <c r="B64" s="116"/>
      <c r="C64" s="116"/>
      <c r="D64" s="3"/>
      <c r="E64" s="184"/>
      <c r="F64" s="18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c r="D65" s="3"/>
      <c r="E65" s="184"/>
      <c r="F65" s="18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c r="D66" s="3"/>
      <c r="E66" s="184"/>
      <c r="F66" s="18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c r="D67" s="3"/>
      <c r="E67" s="184"/>
      <c r="F67" s="18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c r="D68" s="3"/>
      <c r="E68" s="184"/>
      <c r="F68" s="18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c r="D69" s="3"/>
      <c r="E69" s="184"/>
      <c r="F69" s="18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c r="D70" s="3"/>
      <c r="E70" s="184"/>
      <c r="F70" s="18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c r="D71" s="3"/>
      <c r="E71" s="184"/>
      <c r="F71" s="18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c r="C72" s="116"/>
      <c r="D72" s="3"/>
      <c r="E72" s="184"/>
      <c r="F72" s="18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c r="C73" s="116"/>
      <c r="D73" s="3"/>
      <c r="E73" s="184"/>
      <c r="F73" s="184"/>
      <c r="G73" s="18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c r="D74" s="3"/>
      <c r="E74" s="184"/>
      <c r="F74" s="18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c r="D75" s="3"/>
      <c r="E75" s="184"/>
      <c r="F75" s="18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c r="C77" s="116"/>
      <c r="D77" s="3"/>
      <c r="E77" s="184"/>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c r="C78" s="116"/>
      <c r="D78" s="3"/>
      <c r="E78" s="184"/>
      <c r="F78" s="184"/>
      <c r="G78" s="18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c r="C79" s="116"/>
      <c r="D79" s="3"/>
      <c r="E79" s="184"/>
      <c r="F79" s="184"/>
      <c r="G79" s="18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c r="D80" s="3"/>
      <c r="E80" s="184"/>
      <c r="F80" s="184"/>
      <c r="G80" s="18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c r="D81" s="3"/>
      <c r="E81" s="184"/>
      <c r="F81" s="184"/>
      <c r="G81" s="18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c r="D82" s="3"/>
      <c r="E82" s="184"/>
      <c r="F82" s="184"/>
      <c r="G82" s="18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c r="D83" s="3"/>
      <c r="E83" s="184"/>
      <c r="F83" s="184"/>
      <c r="G83" s="18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c r="D84" s="3"/>
      <c r="E84" s="184"/>
      <c r="F84" s="184"/>
      <c r="G84" s="18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c r="D85" s="3"/>
      <c r="E85" s="184"/>
      <c r="F85" s="184"/>
      <c r="G85" s="18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c r="D86" s="3"/>
      <c r="E86" s="184"/>
      <c r="F86" s="184"/>
      <c r="G86" s="18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c r="D87" s="3"/>
      <c r="E87" s="184"/>
      <c r="F87" s="184"/>
      <c r="G87" s="18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c r="D89" s="207"/>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69"/>
      <c r="B130" s="169"/>
      <c r="C130" s="169"/>
      <c r="D130" s="170"/>
      <c r="E130" s="171"/>
      <c r="F130" s="171"/>
      <c r="G130" s="171"/>
      <c r="H130" s="171"/>
      <c r="I130" s="171"/>
      <c r="J130" s="171"/>
      <c r="K130" s="171"/>
      <c r="L130" s="171"/>
      <c r="M130" s="172"/>
      <c r="N130" s="172"/>
      <c r="O130" s="173"/>
      <c r="P130" s="174"/>
      <c r="Q130" s="174"/>
      <c r="R130" s="175"/>
      <c r="S130" s="175"/>
      <c r="T130" s="172"/>
      <c r="U130" s="172"/>
      <c r="V130" s="176"/>
      <c r="W130" s="177"/>
      <c r="X130" s="178"/>
      <c r="Y130" s="173"/>
      <c r="Z130" s="179"/>
      <c r="AA130" s="180"/>
      <c r="AB130" s="181"/>
    </row>
  </sheetData>
  <sheetProtection formatCells="0" formatColumns="0" formatRows="0" insertColumns="0" insertRows="0" insertHyperlinks="0" deleteColumns="0" deleteRows="0" sort="0" autoFilter="0" pivotTables="0"/>
  <dataConsolidate/>
  <mergeCells count="30">
    <mergeCell ref="AC3:AF3"/>
    <mergeCell ref="AC1:CA1"/>
    <mergeCell ref="AG3:AJ3"/>
    <mergeCell ref="AK3:AN3"/>
    <mergeCell ref="AO3:AR3"/>
    <mergeCell ref="AS3:AV3"/>
    <mergeCell ref="AW3:AZ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5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1128</v>
      </c>
      <c r="B1" s="18"/>
      <c r="C1" s="18"/>
      <c r="D1" s="18"/>
      <c r="E1" s="18"/>
      <c r="F1" s="18"/>
      <c r="G1" s="18"/>
      <c r="H1" s="18"/>
      <c r="I1" s="18"/>
      <c r="J1" s="18"/>
      <c r="K1" s="18"/>
      <c r="L1" s="241"/>
      <c r="M1" s="242"/>
      <c r="N1" s="242"/>
      <c r="O1" s="19"/>
      <c r="P1" s="19"/>
      <c r="Q1" s="19"/>
    </row>
    <row r="2" spans="1:17" s="23" customFormat="1" ht="12.75">
      <c r="A2" s="21" t="s">
        <v>1113</v>
      </c>
      <c r="B2" s="22"/>
    </row>
    <row r="3" spans="1:17" s="23" customFormat="1" ht="12.75">
      <c r="A3" s="21" t="s">
        <v>1114</v>
      </c>
      <c r="B3" s="22"/>
    </row>
    <row r="4" spans="1:17" s="23" customFormat="1" ht="12.75">
      <c r="A4" s="243"/>
      <c r="B4" s="243"/>
      <c r="C4" s="24"/>
      <c r="D4" s="25"/>
      <c r="E4" s="25"/>
      <c r="F4" s="25"/>
    </row>
    <row r="5" spans="1:17" s="31" customFormat="1" ht="12.75">
      <c r="A5" s="26"/>
      <c r="B5" s="27"/>
      <c r="C5" s="28"/>
      <c r="D5" s="29"/>
      <c r="E5" s="30"/>
      <c r="F5" s="30"/>
      <c r="G5" s="30"/>
    </row>
    <row r="6" spans="1:17" s="31" customFormat="1" ht="12.75">
      <c r="A6" s="32" t="s">
        <v>1115</v>
      </c>
      <c r="B6" s="33">
        <v>263</v>
      </c>
      <c r="C6" s="31" t="s">
        <v>1</v>
      </c>
      <c r="D6" s="240" t="s">
        <v>1116</v>
      </c>
      <c r="E6" s="240"/>
      <c r="F6" s="240"/>
      <c r="G6" s="240"/>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1117</v>
      </c>
      <c r="B9" s="33">
        <v>11</v>
      </c>
      <c r="C9" s="31" t="s">
        <v>1</v>
      </c>
      <c r="D9" s="239" t="s">
        <v>1118</v>
      </c>
      <c r="E9" s="239"/>
      <c r="F9" s="239"/>
      <c r="G9" s="239"/>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1112</v>
      </c>
      <c r="B12" s="33">
        <v>21.89</v>
      </c>
      <c r="C12" s="31" t="s">
        <v>1</v>
      </c>
      <c r="D12" s="239" t="s">
        <v>1186</v>
      </c>
      <c r="E12" s="239"/>
      <c r="F12" s="239"/>
      <c r="G12" s="239"/>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1112</v>
      </c>
      <c r="B15" s="33"/>
      <c r="C15" s="31" t="s">
        <v>1</v>
      </c>
      <c r="D15" s="239" t="s">
        <v>1119</v>
      </c>
      <c r="E15" s="239"/>
      <c r="F15" s="239"/>
      <c r="G15" s="239"/>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1120</v>
      </c>
      <c r="B18" s="55">
        <v>4.1825095057034217E-2</v>
      </c>
      <c r="D18" s="239" t="s">
        <v>1121</v>
      </c>
      <c r="E18" s="239"/>
      <c r="F18" s="239"/>
      <c r="G18" s="239"/>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1122</v>
      </c>
      <c r="B21" s="55">
        <v>8.3231939163498095E-2</v>
      </c>
      <c r="D21" s="239" t="s">
        <v>1123</v>
      </c>
      <c r="E21" s="239"/>
      <c r="F21" s="239"/>
      <c r="G21" s="239"/>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1124</v>
      </c>
      <c r="B24" s="65">
        <f>ACTUAL_RATE-PLANNED_RATE</f>
        <v>4.1406844106463878E-2</v>
      </c>
      <c r="D24" s="240" t="s">
        <v>1125</v>
      </c>
      <c r="E24" s="240"/>
      <c r="F24" s="240"/>
      <c r="G24" s="240"/>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213" customWidth="1"/>
    <col min="2" max="3" width="10.625" style="213" bestFit="1" customWidth="1"/>
    <col min="4" max="4" width="9.125" style="213"/>
    <col min="5" max="5" width="10.625" style="213" customWidth="1"/>
    <col min="6" max="16384" width="9.125" style="213"/>
  </cols>
  <sheetData>
    <row r="1" spans="2:6" ht="36.950000000000003" customHeight="1">
      <c r="B1" s="78" t="s">
        <v>1178</v>
      </c>
    </row>
    <row r="2" spans="2:6">
      <c r="B2" s="213" t="s">
        <v>1179</v>
      </c>
    </row>
    <row r="3" spans="2:6">
      <c r="B3" s="213" t="s">
        <v>1180</v>
      </c>
    </row>
    <row r="6" spans="2:6" ht="30">
      <c r="B6" s="79" t="s">
        <v>1129</v>
      </c>
      <c r="C6" s="183" t="s">
        <v>1130</v>
      </c>
      <c r="D6" s="183" t="s">
        <v>2</v>
      </c>
      <c r="E6" s="183" t="s">
        <v>1181</v>
      </c>
      <c r="F6" s="212" t="s">
        <v>1182</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9" s="80" customFormat="1" ht="36.950000000000003" customHeight="1">
      <c r="A1" s="17" t="s">
        <v>1132</v>
      </c>
      <c r="B1" s="17"/>
      <c r="C1" s="17"/>
      <c r="D1" s="17"/>
      <c r="E1" s="17"/>
      <c r="F1" s="17"/>
      <c r="G1" s="17"/>
      <c r="H1" s="17"/>
    </row>
    <row r="2" spans="1:9" s="81" customFormat="1" ht="78.75" customHeight="1">
      <c r="A2" s="244" t="s">
        <v>1133</v>
      </c>
      <c r="B2" s="244"/>
      <c r="C2" s="244"/>
      <c r="D2" s="244"/>
      <c r="E2" s="244"/>
      <c r="F2" s="244"/>
      <c r="G2" s="244"/>
      <c r="H2" s="244"/>
    </row>
    <row r="3" spans="1:9" s="81" customFormat="1" ht="24.75" customHeight="1">
      <c r="A3" s="245" t="s">
        <v>1134</v>
      </c>
      <c r="B3" s="245"/>
      <c r="D3" s="245" t="s">
        <v>1135</v>
      </c>
      <c r="E3" s="245"/>
      <c r="G3" s="245" t="s">
        <v>1136</v>
      </c>
      <c r="H3" s="245"/>
    </row>
    <row r="4" spans="1:9" s="83" customFormat="1" ht="19.5" customHeight="1">
      <c r="A4" s="82" t="s">
        <v>1137</v>
      </c>
      <c r="B4" s="82" t="s">
        <v>1139</v>
      </c>
      <c r="D4" s="82" t="s">
        <v>1138</v>
      </c>
      <c r="E4" s="82" t="s">
        <v>1140</v>
      </c>
      <c r="G4" s="82" t="s">
        <v>1138</v>
      </c>
      <c r="H4" s="82" t="s">
        <v>1139</v>
      </c>
    </row>
    <row r="5" spans="1:9" ht="16.5">
      <c r="A5" s="118" t="s">
        <v>1071</v>
      </c>
      <c r="B5" s="119">
        <v>43101</v>
      </c>
      <c r="C5" s="86" t="str">
        <f t="shared" ref="C5:C68" si="0">IF(B5&gt;0,TEXT(B5,"(aaa)"),"")</f>
        <v>(월)</v>
      </c>
      <c r="D5" s="84"/>
      <c r="E5" s="85"/>
      <c r="F5" s="86" t="str">
        <f t="shared" ref="F5:F68" si="1">IF(E5&gt;0,TEXT(E5,"(aaa)"),"")</f>
        <v/>
      </c>
      <c r="G5" s="84"/>
      <c r="H5" s="85"/>
      <c r="I5" s="86" t="str">
        <f t="shared" ref="I5:I68" si="2">IF(H5&gt;0,TEXT(H5,"(aaa)"),"")</f>
        <v/>
      </c>
    </row>
    <row r="6" spans="1:9" ht="16.5">
      <c r="A6" s="118" t="s">
        <v>1072</v>
      </c>
      <c r="B6" s="119">
        <v>43146</v>
      </c>
      <c r="C6" s="86" t="str">
        <f t="shared" si="0"/>
        <v>(목)</v>
      </c>
      <c r="D6" s="84"/>
      <c r="E6" s="85"/>
      <c r="F6" s="86" t="str">
        <f t="shared" si="1"/>
        <v/>
      </c>
      <c r="G6" s="84"/>
      <c r="H6" s="85"/>
      <c r="I6" s="86" t="str">
        <f t="shared" si="2"/>
        <v/>
      </c>
    </row>
    <row r="7" spans="1:9" ht="16.5">
      <c r="A7" s="118" t="s">
        <v>1073</v>
      </c>
      <c r="B7" s="119">
        <v>43147</v>
      </c>
      <c r="C7" s="86" t="str">
        <f t="shared" si="0"/>
        <v>(금)</v>
      </c>
      <c r="D7" s="84"/>
      <c r="E7" s="85"/>
      <c r="F7" s="86" t="str">
        <f t="shared" si="1"/>
        <v/>
      </c>
      <c r="G7" s="84"/>
      <c r="H7" s="85"/>
      <c r="I7" s="86" t="str">
        <f t="shared" si="2"/>
        <v/>
      </c>
    </row>
    <row r="8" spans="1:9" ht="16.5">
      <c r="A8" s="118" t="s">
        <v>1074</v>
      </c>
      <c r="B8" s="119">
        <v>43160</v>
      </c>
      <c r="C8" s="86" t="str">
        <f t="shared" si="0"/>
        <v>(목)</v>
      </c>
      <c r="D8" s="84"/>
      <c r="E8" s="85"/>
      <c r="F8" s="86" t="str">
        <f t="shared" si="1"/>
        <v/>
      </c>
      <c r="G8" s="84"/>
      <c r="H8" s="85"/>
      <c r="I8" s="86" t="str">
        <f t="shared" si="2"/>
        <v/>
      </c>
    </row>
    <row r="9" spans="1:9" ht="16.5">
      <c r="A9" s="118" t="s">
        <v>915</v>
      </c>
      <c r="B9" s="119">
        <v>43227</v>
      </c>
      <c r="C9" s="86" t="str">
        <f t="shared" si="0"/>
        <v>(월)</v>
      </c>
      <c r="D9" s="84"/>
      <c r="E9" s="85"/>
      <c r="F9" s="86" t="str">
        <f t="shared" si="1"/>
        <v/>
      </c>
      <c r="G9" s="84"/>
      <c r="H9" s="85"/>
      <c r="I9" s="86" t="str">
        <f t="shared" si="2"/>
        <v/>
      </c>
    </row>
    <row r="10" spans="1:9" ht="16.5">
      <c r="A10" s="118" t="s">
        <v>916</v>
      </c>
      <c r="B10" s="119">
        <v>43242</v>
      </c>
      <c r="C10" s="86" t="str">
        <f t="shared" si="0"/>
        <v>(화)</v>
      </c>
      <c r="D10" s="84"/>
      <c r="E10" s="85"/>
      <c r="F10" s="86" t="str">
        <f t="shared" si="1"/>
        <v/>
      </c>
      <c r="G10" s="84"/>
      <c r="H10" s="85"/>
      <c r="I10" s="86" t="str">
        <f t="shared" si="2"/>
        <v/>
      </c>
    </row>
    <row r="11" spans="1:9" ht="16.5">
      <c r="A11" s="118" t="s">
        <v>917</v>
      </c>
      <c r="B11" s="119">
        <v>43257</v>
      </c>
      <c r="C11" s="86" t="str">
        <f t="shared" si="0"/>
        <v>(수)</v>
      </c>
      <c r="D11" s="84"/>
      <c r="E11" s="85"/>
      <c r="F11" s="86" t="str">
        <f t="shared" si="1"/>
        <v/>
      </c>
      <c r="G11" s="84"/>
      <c r="H11" s="85"/>
      <c r="I11" s="86" t="str">
        <f t="shared" si="2"/>
        <v/>
      </c>
    </row>
    <row r="12" spans="1:9" ht="16.5">
      <c r="A12" s="118" t="s">
        <v>918</v>
      </c>
      <c r="B12" s="119">
        <v>43327</v>
      </c>
      <c r="C12" s="86" t="str">
        <f t="shared" si="0"/>
        <v>(수)</v>
      </c>
      <c r="D12" s="84"/>
      <c r="E12" s="85"/>
      <c r="F12" s="86" t="str">
        <f t="shared" si="1"/>
        <v/>
      </c>
      <c r="G12" s="84"/>
      <c r="H12" s="85"/>
      <c r="I12" s="86" t="str">
        <f t="shared" si="2"/>
        <v/>
      </c>
    </row>
    <row r="13" spans="1:9" ht="16.5">
      <c r="A13" s="118" t="s">
        <v>919</v>
      </c>
      <c r="B13" s="119">
        <v>43367</v>
      </c>
      <c r="C13" s="86" t="str">
        <f t="shared" si="0"/>
        <v>(월)</v>
      </c>
      <c r="D13" s="84"/>
      <c r="E13" s="85"/>
      <c r="F13" s="86" t="str">
        <f t="shared" si="1"/>
        <v/>
      </c>
      <c r="G13" s="84"/>
      <c r="H13" s="85"/>
      <c r="I13" s="86" t="str">
        <f t="shared" si="2"/>
        <v/>
      </c>
    </row>
    <row r="14" spans="1:9" ht="16.5">
      <c r="A14" s="118" t="s">
        <v>920</v>
      </c>
      <c r="B14" s="119">
        <v>43368</v>
      </c>
      <c r="C14" s="86" t="str">
        <f t="shared" si="0"/>
        <v>(화)</v>
      </c>
      <c r="D14" s="84"/>
      <c r="E14" s="85"/>
      <c r="F14" s="86" t="str">
        <f t="shared" si="1"/>
        <v/>
      </c>
      <c r="G14" s="84"/>
      <c r="H14" s="85"/>
      <c r="I14" s="86" t="str">
        <f t="shared" si="2"/>
        <v/>
      </c>
    </row>
    <row r="15" spans="1:9" ht="16.5">
      <c r="A15" s="118" t="s">
        <v>921</v>
      </c>
      <c r="B15" s="119">
        <v>43369</v>
      </c>
      <c r="C15" s="86" t="str">
        <f t="shared" si="0"/>
        <v>(수)</v>
      </c>
      <c r="D15" s="84"/>
      <c r="E15" s="85"/>
      <c r="F15" s="86" t="str">
        <f t="shared" si="1"/>
        <v/>
      </c>
      <c r="G15" s="84"/>
      <c r="H15" s="85"/>
      <c r="I15" s="86" t="str">
        <f t="shared" si="2"/>
        <v/>
      </c>
    </row>
    <row r="16" spans="1:9" ht="16.5">
      <c r="A16" s="118" t="s">
        <v>922</v>
      </c>
      <c r="B16" s="119">
        <v>43376</v>
      </c>
      <c r="C16" s="86" t="str">
        <f t="shared" si="0"/>
        <v>(수)</v>
      </c>
      <c r="D16" s="84"/>
      <c r="E16" s="85"/>
      <c r="F16" s="86" t="str">
        <f t="shared" si="1"/>
        <v/>
      </c>
      <c r="G16" s="84"/>
      <c r="H16" s="85"/>
      <c r="I16" s="86" t="str">
        <f t="shared" si="2"/>
        <v/>
      </c>
    </row>
    <row r="17" spans="1:10" ht="16.5">
      <c r="A17" s="118" t="s">
        <v>923</v>
      </c>
      <c r="B17" s="119">
        <v>43382</v>
      </c>
      <c r="C17" s="86" t="str">
        <f t="shared" si="0"/>
        <v>(화)</v>
      </c>
      <c r="D17" s="84"/>
      <c r="E17" s="85"/>
      <c r="F17" s="86" t="str">
        <f t="shared" si="1"/>
        <v/>
      </c>
      <c r="G17" s="84"/>
      <c r="H17" s="85"/>
      <c r="I17" s="86" t="str">
        <f t="shared" si="2"/>
        <v/>
      </c>
    </row>
    <row r="18" spans="1:10" ht="16.5">
      <c r="A18" s="118" t="s">
        <v>924</v>
      </c>
      <c r="B18" s="119">
        <v>43459</v>
      </c>
      <c r="C18" s="86" t="str">
        <f t="shared" si="0"/>
        <v>(화)</v>
      </c>
      <c r="D18" s="84"/>
      <c r="E18" s="85"/>
      <c r="F18" s="86" t="str">
        <f t="shared" si="1"/>
        <v/>
      </c>
      <c r="G18" s="84"/>
      <c r="H18" s="85"/>
      <c r="I18" s="86" t="str">
        <f t="shared" si="2"/>
        <v/>
      </c>
    </row>
    <row r="19" spans="1:10" ht="16.5">
      <c r="A19" s="118" t="s">
        <v>1075</v>
      </c>
      <c r="B19" s="119">
        <v>43466</v>
      </c>
      <c r="C19" s="86" t="str">
        <f t="shared" si="0"/>
        <v>(화)</v>
      </c>
      <c r="D19" s="84"/>
      <c r="E19" s="85"/>
      <c r="F19" s="86" t="str">
        <f t="shared" si="1"/>
        <v/>
      </c>
      <c r="G19" s="84"/>
      <c r="H19" s="85"/>
      <c r="I19" s="86" t="str">
        <f t="shared" si="2"/>
        <v/>
      </c>
      <c r="J19" s="87"/>
    </row>
    <row r="20" spans="1:10" ht="16.5">
      <c r="A20" s="118" t="s">
        <v>1076</v>
      </c>
      <c r="B20" s="119">
        <v>43500</v>
      </c>
      <c r="C20" s="86" t="str">
        <f t="shared" si="0"/>
        <v>(월)</v>
      </c>
      <c r="D20" s="84"/>
      <c r="E20" s="85"/>
      <c r="F20" s="86" t="str">
        <f t="shared" si="1"/>
        <v/>
      </c>
      <c r="G20" s="84"/>
      <c r="H20" s="85"/>
      <c r="I20" s="86" t="str">
        <f t="shared" si="2"/>
        <v/>
      </c>
      <c r="J20" s="87"/>
    </row>
    <row r="21" spans="1:10" ht="16.5">
      <c r="A21" s="118" t="s">
        <v>1077</v>
      </c>
      <c r="B21" s="119">
        <v>43501</v>
      </c>
      <c r="C21" s="86" t="str">
        <f t="shared" si="0"/>
        <v>(화)</v>
      </c>
      <c r="D21" s="84"/>
      <c r="E21" s="85"/>
      <c r="F21" s="86" t="str">
        <f t="shared" si="1"/>
        <v/>
      </c>
      <c r="G21" s="84"/>
      <c r="H21" s="85"/>
      <c r="I21" s="86" t="str">
        <f t="shared" si="2"/>
        <v/>
      </c>
    </row>
    <row r="22" spans="1:10" ht="16.5">
      <c r="A22" s="118" t="s">
        <v>1076</v>
      </c>
      <c r="B22" s="119">
        <v>43502</v>
      </c>
      <c r="C22" s="86" t="str">
        <f t="shared" si="0"/>
        <v>(수)</v>
      </c>
      <c r="D22" s="84"/>
      <c r="E22" s="85"/>
      <c r="F22" s="86" t="str">
        <f t="shared" si="1"/>
        <v/>
      </c>
      <c r="G22" s="84"/>
      <c r="H22" s="85"/>
      <c r="I22" s="86" t="str">
        <f t="shared" si="2"/>
        <v/>
      </c>
    </row>
    <row r="23" spans="1:10" ht="16.5">
      <c r="A23" s="118" t="s">
        <v>1078</v>
      </c>
      <c r="B23" s="119">
        <v>43525</v>
      </c>
      <c r="C23" s="86" t="str">
        <f t="shared" si="0"/>
        <v>(금)</v>
      </c>
      <c r="D23" s="84"/>
      <c r="E23" s="85"/>
      <c r="F23" s="86" t="str">
        <f t="shared" si="1"/>
        <v/>
      </c>
      <c r="G23" s="84"/>
      <c r="H23" s="85"/>
      <c r="I23" s="86" t="str">
        <f t="shared" si="2"/>
        <v/>
      </c>
    </row>
    <row r="24" spans="1:10" ht="16.5">
      <c r="A24" s="118" t="s">
        <v>1079</v>
      </c>
      <c r="B24" s="119">
        <v>43591</v>
      </c>
      <c r="C24" s="86" t="str">
        <f t="shared" si="0"/>
        <v>(월)</v>
      </c>
      <c r="D24" s="84"/>
      <c r="E24" s="85"/>
      <c r="F24" s="86" t="str">
        <f t="shared" si="1"/>
        <v/>
      </c>
      <c r="G24" s="84"/>
      <c r="H24" s="85"/>
      <c r="I24" s="86" t="str">
        <f t="shared" si="2"/>
        <v/>
      </c>
    </row>
    <row r="25" spans="1:10" ht="16.5">
      <c r="A25" s="118" t="s">
        <v>1080</v>
      </c>
      <c r="B25" s="119">
        <v>43622</v>
      </c>
      <c r="C25" s="86" t="str">
        <f t="shared" si="0"/>
        <v>(목)</v>
      </c>
      <c r="D25" s="84"/>
      <c r="E25" s="85"/>
      <c r="F25" s="86" t="str">
        <f t="shared" si="1"/>
        <v/>
      </c>
      <c r="G25" s="84"/>
      <c r="H25" s="85"/>
      <c r="I25" s="86" t="str">
        <f t="shared" si="2"/>
        <v/>
      </c>
    </row>
    <row r="26" spans="1:10" ht="16.5">
      <c r="A26" s="118" t="s">
        <v>1081</v>
      </c>
      <c r="B26" s="119">
        <v>43692</v>
      </c>
      <c r="C26" s="86" t="str">
        <f t="shared" si="0"/>
        <v>(목)</v>
      </c>
      <c r="D26" s="84"/>
      <c r="E26" s="85"/>
      <c r="F26" s="86" t="str">
        <f t="shared" si="1"/>
        <v/>
      </c>
      <c r="G26" s="84"/>
      <c r="H26" s="85"/>
      <c r="I26" s="86" t="str">
        <f t="shared" si="2"/>
        <v/>
      </c>
    </row>
    <row r="27" spans="1:10" ht="16.5">
      <c r="A27" s="118" t="s">
        <v>1082</v>
      </c>
      <c r="B27" s="119">
        <v>43720</v>
      </c>
      <c r="C27" s="86" t="str">
        <f t="shared" si="0"/>
        <v>(목)</v>
      </c>
      <c r="D27" s="84"/>
      <c r="E27" s="85"/>
      <c r="F27" s="86" t="str">
        <f t="shared" si="1"/>
        <v/>
      </c>
      <c r="G27" s="84"/>
      <c r="H27" s="85"/>
      <c r="I27" s="86" t="str">
        <f t="shared" si="2"/>
        <v/>
      </c>
    </row>
    <row r="28" spans="1:10" ht="16.5">
      <c r="A28" s="118" t="s">
        <v>1083</v>
      </c>
      <c r="B28" s="119">
        <v>43721</v>
      </c>
      <c r="C28" s="86" t="str">
        <f t="shared" si="0"/>
        <v>(금)</v>
      </c>
      <c r="D28" s="84"/>
      <c r="E28" s="85"/>
      <c r="F28" s="86" t="str">
        <f t="shared" si="1"/>
        <v/>
      </c>
      <c r="G28" s="84"/>
      <c r="H28" s="85"/>
      <c r="I28" s="86" t="str">
        <f t="shared" si="2"/>
        <v/>
      </c>
    </row>
    <row r="29" spans="1:10" ht="16.5">
      <c r="A29" s="118" t="s">
        <v>1084</v>
      </c>
      <c r="B29" s="119">
        <v>43741</v>
      </c>
      <c r="C29" s="86" t="str">
        <f t="shared" si="0"/>
        <v>(목)</v>
      </c>
      <c r="D29" s="84"/>
      <c r="E29" s="85"/>
      <c r="F29" s="86" t="str">
        <f t="shared" si="1"/>
        <v/>
      </c>
      <c r="G29" s="84"/>
      <c r="H29" s="85"/>
      <c r="I29" s="86" t="str">
        <f t="shared" si="2"/>
        <v/>
      </c>
    </row>
    <row r="30" spans="1:10" ht="16.5">
      <c r="A30" s="118" t="s">
        <v>1085</v>
      </c>
      <c r="B30" s="119">
        <v>43747</v>
      </c>
      <c r="C30" s="86" t="str">
        <f t="shared" si="0"/>
        <v>(수)</v>
      </c>
      <c r="D30" s="84"/>
      <c r="E30" s="85"/>
      <c r="F30" s="86" t="str">
        <f t="shared" si="1"/>
        <v/>
      </c>
      <c r="G30" s="84"/>
      <c r="H30" s="85"/>
      <c r="I30" s="86" t="str">
        <f t="shared" si="2"/>
        <v/>
      </c>
    </row>
    <row r="31" spans="1:10" ht="16.5">
      <c r="A31" s="118" t="s">
        <v>1086</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1141</v>
      </c>
      <c r="D305" s="86" t="s">
        <v>1141</v>
      </c>
      <c r="G305" s="86" t="s">
        <v>1141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a</cp:lastModifiedBy>
  <dcterms:created xsi:type="dcterms:W3CDTF">2018-02-18T09:45:14Z</dcterms:created>
  <dcterms:modified xsi:type="dcterms:W3CDTF">2018-10-14T09:04:02Z</dcterms:modified>
</cp:coreProperties>
</file>